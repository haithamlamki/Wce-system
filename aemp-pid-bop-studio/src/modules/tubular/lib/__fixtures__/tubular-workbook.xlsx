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80128\Downloads\"/>
    </mc:Choice>
  </mc:AlternateContent>
  <xr:revisionPtr revIDLastSave="0" documentId="13_ncr:1_{C6B426AE-3644-4475-B89D-46190E42B9D3}" xr6:coauthVersionLast="47" xr6:coauthVersionMax="47" xr10:uidLastSave="{00000000-0000-0000-0000-000000000000}"/>
  <bookViews>
    <workbookView xWindow="-108" yWindow="-108" windowWidth="30936" windowHeight="16776" tabRatio="500" activeTab="3" xr2:uid="{00000000-000D-0000-FFFF-FFFF00000000}"/>
  </bookViews>
  <sheets>
    <sheet name="Dashboard" sheetId="1" r:id="rId1"/>
    <sheet name="Master" sheetId="2" r:id="rId2"/>
    <sheet name="Reference" sheetId="3" r:id="rId3"/>
    <sheet name="Rig 103" sheetId="4" r:id="rId4"/>
    <sheet name="Rig 104" sheetId="5" r:id="rId5"/>
    <sheet name="Rig 105" sheetId="6" r:id="rId6"/>
    <sheet name="Rig 106" sheetId="7" r:id="rId7"/>
    <sheet name="Rig 107" sheetId="8" r:id="rId8"/>
    <sheet name="Rig 108" sheetId="9" r:id="rId9"/>
    <sheet name="Rig 109" sheetId="10" r:id="rId10"/>
    <sheet name="Rig 110" sheetId="11" r:id="rId11"/>
    <sheet name="Rig 111" sheetId="12" r:id="rId12"/>
    <sheet name="Rig 201" sheetId="14" r:id="rId13"/>
    <sheet name="Rig 202" sheetId="15" r:id="rId14"/>
    <sheet name="Rig 203" sheetId="16" r:id="rId15"/>
    <sheet name="Rig 204" sheetId="17" r:id="rId16"/>
    <sheet name="Rig 205" sheetId="18" r:id="rId17"/>
    <sheet name="Rig 206" sheetId="19" r:id="rId18"/>
    <sheet name="Rig 207" sheetId="20" r:id="rId19"/>
    <sheet name="Rig 208" sheetId="21" r:id="rId20"/>
    <sheet name="Rig 209" sheetId="22" r:id="rId21"/>
    <sheet name="Rig 210" sheetId="23" r:id="rId22"/>
    <sheet name="Rig 302" sheetId="27" r:id="rId23"/>
    <sheet name="Rig 303" sheetId="28" r:id="rId24"/>
    <sheet name="Rig 304" sheetId="29" r:id="rId25"/>
    <sheet name="Rig 305" sheetId="30" r:id="rId26"/>
    <sheet name="Rig 306" sheetId="31" r:id="rId27"/>
    <sheet name="Hoist 1" sheetId="32" r:id="rId28"/>
    <sheet name="Hoist 2" sheetId="33" r:id="rId29"/>
    <sheet name="Hoist 3" sheetId="34" r:id="rId30"/>
    <sheet name="Hoist 4" sheetId="35" r:id="rId31"/>
    <sheet name="Hoist 5" sheetId="36" r:id="rId32"/>
    <sheet name="Lists" sheetId="37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2" l="1"/>
  <c r="F12" i="2"/>
  <c r="M15" i="2"/>
  <c r="D19" i="2"/>
  <c r="R20" i="2"/>
  <c r="L14" i="2"/>
  <c r="CA18" i="2"/>
  <c r="B22" i="2"/>
  <c r="G29" i="2"/>
  <c r="D28" i="10"/>
  <c r="O49" i="36"/>
  <c r="D49" i="36"/>
  <c r="A49" i="36"/>
  <c r="O48" i="36"/>
  <c r="D48" i="36"/>
  <c r="A48" i="36"/>
  <c r="O47" i="36"/>
  <c r="D47" i="36"/>
  <c r="A47" i="36"/>
  <c r="O46" i="36"/>
  <c r="D46" i="36"/>
  <c r="A46" i="36"/>
  <c r="O45" i="36"/>
  <c r="D45" i="36"/>
  <c r="A45" i="36"/>
  <c r="O44" i="36"/>
  <c r="D44" i="36"/>
  <c r="A44" i="36"/>
  <c r="O43" i="36"/>
  <c r="D43" i="36"/>
  <c r="A43" i="36"/>
  <c r="O42" i="36"/>
  <c r="D42" i="36"/>
  <c r="A42" i="36"/>
  <c r="O41" i="36"/>
  <c r="D41" i="36"/>
  <c r="A41" i="36"/>
  <c r="O40" i="36"/>
  <c r="D40" i="36"/>
  <c r="A40" i="36"/>
  <c r="O39" i="36"/>
  <c r="D39" i="36"/>
  <c r="A39" i="36"/>
  <c r="O38" i="36"/>
  <c r="D38" i="36"/>
  <c r="A38" i="36"/>
  <c r="O37" i="36"/>
  <c r="A37" i="36"/>
  <c r="O35" i="36"/>
  <c r="D35" i="36"/>
  <c r="A35" i="36"/>
  <c r="O34" i="36"/>
  <c r="D34" i="36"/>
  <c r="A34" i="36"/>
  <c r="O33" i="36"/>
  <c r="D33" i="36"/>
  <c r="A33" i="36"/>
  <c r="O32" i="36"/>
  <c r="D32" i="36"/>
  <c r="A32" i="36"/>
  <c r="O31" i="36"/>
  <c r="D31" i="36"/>
  <c r="A31" i="36"/>
  <c r="O30" i="36"/>
  <c r="D30" i="36"/>
  <c r="A30" i="36"/>
  <c r="O29" i="36"/>
  <c r="D29" i="36"/>
  <c r="A29" i="36"/>
  <c r="O28" i="36"/>
  <c r="A28" i="36"/>
  <c r="O26" i="36"/>
  <c r="D26" i="36"/>
  <c r="A26" i="36"/>
  <c r="O25" i="36"/>
  <c r="D25" i="36"/>
  <c r="A25" i="36"/>
  <c r="O24" i="36"/>
  <c r="D24" i="36"/>
  <c r="A24" i="36"/>
  <c r="O23" i="36"/>
  <c r="D23" i="36"/>
  <c r="A23" i="36"/>
  <c r="O22" i="36"/>
  <c r="A22" i="36"/>
  <c r="O21" i="36"/>
  <c r="A21" i="36"/>
  <c r="O19" i="36"/>
  <c r="D19" i="36"/>
  <c r="A19" i="36"/>
  <c r="O18" i="36"/>
  <c r="D18" i="36"/>
  <c r="A18" i="36"/>
  <c r="O17" i="36"/>
  <c r="D17" i="36"/>
  <c r="A17" i="36"/>
  <c r="O16" i="36"/>
  <c r="D16" i="36"/>
  <c r="A16" i="36"/>
  <c r="O15" i="36"/>
  <c r="D15" i="36"/>
  <c r="A15" i="36"/>
  <c r="O14" i="36"/>
  <c r="D14" i="36"/>
  <c r="A14" i="36"/>
  <c r="O13" i="36"/>
  <c r="D13" i="36"/>
  <c r="A13" i="36"/>
  <c r="O12" i="36"/>
  <c r="D12" i="36"/>
  <c r="A12" i="36"/>
  <c r="O11" i="36"/>
  <c r="D11" i="36"/>
  <c r="A11" i="36"/>
  <c r="O10" i="36"/>
  <c r="D10" i="36"/>
  <c r="A10" i="36"/>
  <c r="O9" i="36"/>
  <c r="D9" i="36"/>
  <c r="A9" i="36"/>
  <c r="O8" i="36"/>
  <c r="D8" i="36"/>
  <c r="A8" i="36"/>
  <c r="O7" i="36"/>
  <c r="A7" i="36"/>
  <c r="O49" i="35"/>
  <c r="D49" i="35"/>
  <c r="A49" i="35"/>
  <c r="O48" i="35"/>
  <c r="D48" i="35"/>
  <c r="A48" i="35"/>
  <c r="O47" i="35"/>
  <c r="D47" i="35"/>
  <c r="A47" i="35"/>
  <c r="O46" i="35"/>
  <c r="D46" i="35"/>
  <c r="A46" i="35"/>
  <c r="O45" i="35"/>
  <c r="D45" i="35"/>
  <c r="A45" i="35"/>
  <c r="O44" i="35"/>
  <c r="D44" i="35"/>
  <c r="A44" i="35"/>
  <c r="O43" i="35"/>
  <c r="D43" i="35"/>
  <c r="A43" i="35"/>
  <c r="O42" i="35"/>
  <c r="D42" i="35"/>
  <c r="A42" i="35"/>
  <c r="O41" i="35"/>
  <c r="D41" i="35"/>
  <c r="A41" i="35"/>
  <c r="O40" i="35"/>
  <c r="D40" i="35"/>
  <c r="A40" i="35"/>
  <c r="O39" i="35"/>
  <c r="D39" i="35"/>
  <c r="A39" i="35"/>
  <c r="O38" i="35"/>
  <c r="D38" i="35"/>
  <c r="A38" i="35"/>
  <c r="O37" i="35"/>
  <c r="A37" i="35"/>
  <c r="O35" i="35"/>
  <c r="D35" i="35"/>
  <c r="A35" i="35"/>
  <c r="O34" i="35"/>
  <c r="D34" i="35"/>
  <c r="A34" i="35"/>
  <c r="O33" i="35"/>
  <c r="D33" i="35"/>
  <c r="A33" i="35"/>
  <c r="O32" i="35"/>
  <c r="D32" i="35"/>
  <c r="A32" i="35"/>
  <c r="O31" i="35"/>
  <c r="D31" i="35"/>
  <c r="A31" i="35"/>
  <c r="O30" i="35"/>
  <c r="D30" i="35"/>
  <c r="A30" i="35"/>
  <c r="O29" i="35"/>
  <c r="D29" i="35"/>
  <c r="A29" i="35"/>
  <c r="O28" i="35"/>
  <c r="A28" i="35"/>
  <c r="O26" i="35"/>
  <c r="D26" i="35"/>
  <c r="A26" i="35"/>
  <c r="O25" i="35"/>
  <c r="D25" i="35"/>
  <c r="A25" i="35"/>
  <c r="O24" i="35"/>
  <c r="D24" i="35"/>
  <c r="A24" i="35"/>
  <c r="O23" i="35"/>
  <c r="D23" i="35"/>
  <c r="A23" i="35"/>
  <c r="O22" i="35"/>
  <c r="D22" i="35"/>
  <c r="A22" i="35"/>
  <c r="O21" i="35"/>
  <c r="A21" i="35"/>
  <c r="O19" i="35"/>
  <c r="D19" i="35"/>
  <c r="A19" i="35"/>
  <c r="O18" i="35"/>
  <c r="D18" i="35"/>
  <c r="A18" i="35"/>
  <c r="O17" i="35"/>
  <c r="D17" i="35"/>
  <c r="A17" i="35"/>
  <c r="O16" i="35"/>
  <c r="D16" i="35"/>
  <c r="A16" i="35"/>
  <c r="O15" i="35"/>
  <c r="D15" i="35"/>
  <c r="A15" i="35"/>
  <c r="O14" i="35"/>
  <c r="D14" i="35"/>
  <c r="A14" i="35"/>
  <c r="O13" i="35"/>
  <c r="D13" i="35"/>
  <c r="A13" i="35"/>
  <c r="O12" i="35"/>
  <c r="D12" i="35"/>
  <c r="A12" i="35"/>
  <c r="O11" i="35"/>
  <c r="D11" i="35"/>
  <c r="A11" i="35"/>
  <c r="O10" i="35"/>
  <c r="D10" i="35"/>
  <c r="A10" i="35"/>
  <c r="O9" i="35"/>
  <c r="D9" i="35"/>
  <c r="A9" i="35"/>
  <c r="O8" i="35"/>
  <c r="D8" i="35"/>
  <c r="A8" i="35"/>
  <c r="O7" i="35"/>
  <c r="A7" i="35"/>
  <c r="O49" i="34"/>
  <c r="D49" i="34"/>
  <c r="A49" i="34"/>
  <c r="O48" i="34"/>
  <c r="D48" i="34"/>
  <c r="A48" i="34"/>
  <c r="O47" i="34"/>
  <c r="D47" i="34"/>
  <c r="A47" i="34"/>
  <c r="O46" i="34"/>
  <c r="D46" i="34"/>
  <c r="A46" i="34"/>
  <c r="O45" i="34"/>
  <c r="D45" i="34"/>
  <c r="A45" i="34"/>
  <c r="O44" i="34"/>
  <c r="D44" i="34"/>
  <c r="A44" i="34"/>
  <c r="O43" i="34"/>
  <c r="D43" i="34"/>
  <c r="A43" i="34"/>
  <c r="O42" i="34"/>
  <c r="D42" i="34"/>
  <c r="A42" i="34"/>
  <c r="O41" i="34"/>
  <c r="D41" i="34"/>
  <c r="A41" i="34"/>
  <c r="O40" i="34"/>
  <c r="D40" i="34"/>
  <c r="A40" i="34"/>
  <c r="O39" i="34"/>
  <c r="D39" i="34"/>
  <c r="A39" i="34"/>
  <c r="O38" i="34"/>
  <c r="D38" i="34"/>
  <c r="A38" i="34"/>
  <c r="O37" i="34"/>
  <c r="A37" i="34"/>
  <c r="O35" i="34"/>
  <c r="D35" i="34"/>
  <c r="A35" i="34"/>
  <c r="O34" i="34"/>
  <c r="D34" i="34"/>
  <c r="A34" i="34"/>
  <c r="O33" i="34"/>
  <c r="D33" i="34"/>
  <c r="A33" i="34"/>
  <c r="O32" i="34"/>
  <c r="D32" i="34"/>
  <c r="A32" i="34"/>
  <c r="O31" i="34"/>
  <c r="D31" i="34"/>
  <c r="A31" i="34"/>
  <c r="O30" i="34"/>
  <c r="D30" i="34"/>
  <c r="A30" i="34"/>
  <c r="O29" i="34"/>
  <c r="D29" i="34"/>
  <c r="A29" i="34"/>
  <c r="O28" i="34"/>
  <c r="D28" i="34"/>
  <c r="A28" i="34"/>
  <c r="O26" i="34"/>
  <c r="D26" i="34"/>
  <c r="A26" i="34"/>
  <c r="O25" i="34"/>
  <c r="D25" i="34"/>
  <c r="A25" i="34"/>
  <c r="O24" i="34"/>
  <c r="D24" i="34"/>
  <c r="A24" i="34"/>
  <c r="O23" i="34"/>
  <c r="D23" i="34"/>
  <c r="A23" i="34"/>
  <c r="O22" i="34"/>
  <c r="D22" i="34"/>
  <c r="A22" i="34"/>
  <c r="O21" i="34"/>
  <c r="D21" i="34"/>
  <c r="A21" i="34"/>
  <c r="O19" i="34"/>
  <c r="D19" i="34"/>
  <c r="A19" i="34"/>
  <c r="O18" i="34"/>
  <c r="D18" i="34"/>
  <c r="A18" i="34"/>
  <c r="O17" i="34"/>
  <c r="D17" i="34"/>
  <c r="A17" i="34"/>
  <c r="O16" i="34"/>
  <c r="D16" i="34"/>
  <c r="A16" i="34"/>
  <c r="O15" i="34"/>
  <c r="D15" i="34"/>
  <c r="A15" i="34"/>
  <c r="O14" i="34"/>
  <c r="D14" i="34"/>
  <c r="A14" i="34"/>
  <c r="O13" i="34"/>
  <c r="D13" i="34"/>
  <c r="A13" i="34"/>
  <c r="O12" i="34"/>
  <c r="D12" i="34"/>
  <c r="A12" i="34"/>
  <c r="O11" i="34"/>
  <c r="D11" i="34"/>
  <c r="A11" i="34"/>
  <c r="O10" i="34"/>
  <c r="D10" i="34"/>
  <c r="A10" i="34"/>
  <c r="O9" i="34"/>
  <c r="D9" i="34"/>
  <c r="A9" i="34"/>
  <c r="O8" i="34"/>
  <c r="A8" i="34"/>
  <c r="O7" i="34"/>
  <c r="D7" i="34"/>
  <c r="A7" i="34"/>
  <c r="O49" i="33"/>
  <c r="D49" i="33"/>
  <c r="A49" i="33"/>
  <c r="O48" i="33"/>
  <c r="D48" i="33"/>
  <c r="A48" i="33"/>
  <c r="O47" i="33"/>
  <c r="D47" i="33"/>
  <c r="A47" i="33"/>
  <c r="O46" i="33"/>
  <c r="D46" i="33"/>
  <c r="A46" i="33"/>
  <c r="O45" i="33"/>
  <c r="D45" i="33"/>
  <c r="A45" i="33"/>
  <c r="O44" i="33"/>
  <c r="D44" i="33"/>
  <c r="A44" i="33"/>
  <c r="O43" i="33"/>
  <c r="D43" i="33"/>
  <c r="A43" i="33"/>
  <c r="O42" i="33"/>
  <c r="D42" i="33"/>
  <c r="A42" i="33"/>
  <c r="O41" i="33"/>
  <c r="D41" i="33"/>
  <c r="A41" i="33"/>
  <c r="O40" i="33"/>
  <c r="D40" i="33"/>
  <c r="A40" i="33"/>
  <c r="O39" i="33"/>
  <c r="D39" i="33"/>
  <c r="A39" i="33"/>
  <c r="O38" i="33"/>
  <c r="D38" i="33"/>
  <c r="A38" i="33"/>
  <c r="O37" i="33"/>
  <c r="A37" i="33"/>
  <c r="O35" i="33"/>
  <c r="D35" i="33"/>
  <c r="A35" i="33"/>
  <c r="O34" i="33"/>
  <c r="D34" i="33"/>
  <c r="A34" i="33"/>
  <c r="O33" i="33"/>
  <c r="D33" i="33"/>
  <c r="A33" i="33"/>
  <c r="O32" i="33"/>
  <c r="D32" i="33"/>
  <c r="A32" i="33"/>
  <c r="O31" i="33"/>
  <c r="D31" i="33"/>
  <c r="A31" i="33"/>
  <c r="O30" i="33"/>
  <c r="D30" i="33"/>
  <c r="A30" i="33"/>
  <c r="O29" i="33"/>
  <c r="D29" i="33"/>
  <c r="A29" i="33"/>
  <c r="O28" i="33"/>
  <c r="D28" i="33"/>
  <c r="A28" i="33"/>
  <c r="O26" i="33"/>
  <c r="D26" i="33"/>
  <c r="A26" i="33"/>
  <c r="O25" i="33"/>
  <c r="D25" i="33"/>
  <c r="A25" i="33"/>
  <c r="O24" i="33"/>
  <c r="D24" i="33"/>
  <c r="A24" i="33"/>
  <c r="O23" i="33"/>
  <c r="D23" i="33"/>
  <c r="A23" i="33"/>
  <c r="O22" i="33"/>
  <c r="D22" i="33"/>
  <c r="A22" i="33"/>
  <c r="O21" i="33"/>
  <c r="A21" i="33"/>
  <c r="O19" i="33"/>
  <c r="D19" i="33"/>
  <c r="A19" i="33"/>
  <c r="O18" i="33"/>
  <c r="D18" i="33"/>
  <c r="A18" i="33"/>
  <c r="O17" i="33"/>
  <c r="D17" i="33"/>
  <c r="A17" i="33"/>
  <c r="O16" i="33"/>
  <c r="D16" i="33"/>
  <c r="A16" i="33"/>
  <c r="O15" i="33"/>
  <c r="D15" i="33"/>
  <c r="A15" i="33"/>
  <c r="O14" i="33"/>
  <c r="D14" i="33"/>
  <c r="A14" i="33"/>
  <c r="O13" i="33"/>
  <c r="D13" i="33"/>
  <c r="A13" i="33"/>
  <c r="O12" i="33"/>
  <c r="D12" i="33"/>
  <c r="A12" i="33"/>
  <c r="O11" i="33"/>
  <c r="D11" i="33"/>
  <c r="A11" i="33"/>
  <c r="O10" i="33"/>
  <c r="D10" i="33"/>
  <c r="A10" i="33"/>
  <c r="O9" i="33"/>
  <c r="D9" i="33"/>
  <c r="A9" i="33"/>
  <c r="O8" i="33"/>
  <c r="A8" i="33"/>
  <c r="O7" i="33"/>
  <c r="A7" i="33"/>
  <c r="O49" i="32"/>
  <c r="D49" i="32"/>
  <c r="A49" i="32"/>
  <c r="O48" i="32"/>
  <c r="D48" i="32"/>
  <c r="A48" i="32"/>
  <c r="O47" i="32"/>
  <c r="D47" i="32"/>
  <c r="A47" i="32"/>
  <c r="O46" i="32"/>
  <c r="D46" i="32"/>
  <c r="A46" i="32"/>
  <c r="O45" i="32"/>
  <c r="D45" i="32"/>
  <c r="A45" i="32"/>
  <c r="O44" i="32"/>
  <c r="D44" i="32"/>
  <c r="A44" i="32"/>
  <c r="O43" i="32"/>
  <c r="D43" i="32"/>
  <c r="A43" i="32"/>
  <c r="O42" i="32"/>
  <c r="D42" i="32"/>
  <c r="A42" i="32"/>
  <c r="O41" i="32"/>
  <c r="D41" i="32"/>
  <c r="A41" i="32"/>
  <c r="O40" i="32"/>
  <c r="D40" i="32"/>
  <c r="A40" i="32"/>
  <c r="O39" i="32"/>
  <c r="D39" i="32"/>
  <c r="A39" i="32"/>
  <c r="O38" i="32"/>
  <c r="D38" i="32"/>
  <c r="A38" i="32"/>
  <c r="O37" i="32"/>
  <c r="A37" i="32"/>
  <c r="O35" i="32"/>
  <c r="D35" i="32"/>
  <c r="A35" i="32"/>
  <c r="O34" i="32"/>
  <c r="D34" i="32"/>
  <c r="A34" i="32"/>
  <c r="O33" i="32"/>
  <c r="D33" i="32"/>
  <c r="A33" i="32"/>
  <c r="O32" i="32"/>
  <c r="D32" i="32"/>
  <c r="A32" i="32"/>
  <c r="O31" i="32"/>
  <c r="D31" i="32"/>
  <c r="A31" i="32"/>
  <c r="O30" i="32"/>
  <c r="D30" i="32"/>
  <c r="A30" i="32"/>
  <c r="O29" i="32"/>
  <c r="D29" i="32"/>
  <c r="A29" i="32"/>
  <c r="O28" i="32"/>
  <c r="D28" i="32"/>
  <c r="A28" i="32"/>
  <c r="O26" i="32"/>
  <c r="D26" i="32"/>
  <c r="A26" i="32"/>
  <c r="O25" i="32"/>
  <c r="D25" i="32"/>
  <c r="A25" i="32"/>
  <c r="O24" i="32"/>
  <c r="D24" i="32"/>
  <c r="A24" i="32"/>
  <c r="O23" i="32"/>
  <c r="D23" i="32"/>
  <c r="A23" i="32"/>
  <c r="O22" i="32"/>
  <c r="D22" i="32"/>
  <c r="A22" i="32"/>
  <c r="O21" i="32"/>
  <c r="D21" i="32"/>
  <c r="A21" i="32"/>
  <c r="O19" i="32"/>
  <c r="D19" i="32"/>
  <c r="A19" i="32"/>
  <c r="O18" i="32"/>
  <c r="D18" i="32"/>
  <c r="A18" i="32"/>
  <c r="O17" i="32"/>
  <c r="D17" i="32"/>
  <c r="A17" i="32"/>
  <c r="O16" i="32"/>
  <c r="D16" i="32"/>
  <c r="A16" i="32"/>
  <c r="O15" i="32"/>
  <c r="D15" i="32"/>
  <c r="A15" i="32"/>
  <c r="O14" i="32"/>
  <c r="D14" i="32"/>
  <c r="A14" i="32"/>
  <c r="O13" i="32"/>
  <c r="D13" i="32"/>
  <c r="A13" i="32"/>
  <c r="O12" i="32"/>
  <c r="D12" i="32"/>
  <c r="A12" i="32"/>
  <c r="O11" i="32"/>
  <c r="D11" i="32"/>
  <c r="A11" i="32"/>
  <c r="O10" i="32"/>
  <c r="D10" i="32"/>
  <c r="A10" i="32"/>
  <c r="O9" i="32"/>
  <c r="D9" i="32"/>
  <c r="A9" i="32"/>
  <c r="O8" i="32"/>
  <c r="A8" i="32"/>
  <c r="O7" i="32"/>
  <c r="D7" i="32"/>
  <c r="A7" i="32"/>
  <c r="O49" i="31"/>
  <c r="D49" i="31"/>
  <c r="A49" i="31"/>
  <c r="O48" i="31"/>
  <c r="D48" i="31"/>
  <c r="A48" i="31"/>
  <c r="O47" i="31"/>
  <c r="D47" i="31"/>
  <c r="A47" i="31"/>
  <c r="O46" i="31"/>
  <c r="D46" i="31"/>
  <c r="A46" i="31"/>
  <c r="O45" i="31"/>
  <c r="D45" i="31"/>
  <c r="A45" i="31"/>
  <c r="O44" i="31"/>
  <c r="D44" i="31"/>
  <c r="A44" i="31"/>
  <c r="O43" i="31"/>
  <c r="A43" i="31"/>
  <c r="O42" i="31"/>
  <c r="A42" i="31"/>
  <c r="O41" i="31"/>
  <c r="A41" i="31"/>
  <c r="O40" i="31"/>
  <c r="A40" i="31"/>
  <c r="O39" i="31"/>
  <c r="A39" i="31"/>
  <c r="O38" i="31"/>
  <c r="A38" i="31"/>
  <c r="O37" i="31"/>
  <c r="A37" i="31"/>
  <c r="O35" i="31"/>
  <c r="D35" i="31"/>
  <c r="A35" i="31"/>
  <c r="O34" i="31"/>
  <c r="D34" i="31"/>
  <c r="A34" i="31"/>
  <c r="O33" i="31"/>
  <c r="D33" i="31"/>
  <c r="A33" i="31"/>
  <c r="O32" i="31"/>
  <c r="D32" i="31"/>
  <c r="A32" i="31"/>
  <c r="O31" i="31"/>
  <c r="D31" i="31"/>
  <c r="A31" i="31"/>
  <c r="O30" i="31"/>
  <c r="D30" i="31"/>
  <c r="A30" i="31"/>
  <c r="O29" i="31"/>
  <c r="A29" i="31"/>
  <c r="O28" i="31"/>
  <c r="A28" i="31"/>
  <c r="O26" i="31"/>
  <c r="D26" i="31"/>
  <c r="A26" i="31"/>
  <c r="O25" i="31"/>
  <c r="D25" i="31"/>
  <c r="A25" i="31"/>
  <c r="O24" i="31"/>
  <c r="D24" i="31"/>
  <c r="A24" i="31"/>
  <c r="O23" i="31"/>
  <c r="D23" i="31"/>
  <c r="A23" i="31"/>
  <c r="O22" i="31"/>
  <c r="D22" i="31"/>
  <c r="A22" i="31"/>
  <c r="O21" i="31"/>
  <c r="A21" i="31"/>
  <c r="O19" i="31"/>
  <c r="D19" i="31"/>
  <c r="A19" i="31"/>
  <c r="O18" i="31"/>
  <c r="D18" i="31"/>
  <c r="A18" i="31"/>
  <c r="O17" i="31"/>
  <c r="D17" i="31"/>
  <c r="A17" i="31"/>
  <c r="O16" i="31"/>
  <c r="D16" i="31"/>
  <c r="A16" i="31"/>
  <c r="O15" i="31"/>
  <c r="D15" i="31"/>
  <c r="A15" i="31"/>
  <c r="O14" i="31"/>
  <c r="D14" i="31"/>
  <c r="A14" i="31"/>
  <c r="O13" i="31"/>
  <c r="D13" i="31"/>
  <c r="A13" i="31"/>
  <c r="O12" i="31"/>
  <c r="D12" i="31"/>
  <c r="A12" i="31"/>
  <c r="O11" i="31"/>
  <c r="D11" i="31"/>
  <c r="A11" i="31"/>
  <c r="O10" i="31"/>
  <c r="D10" i="31"/>
  <c r="A10" i="31"/>
  <c r="O9" i="31"/>
  <c r="A9" i="31"/>
  <c r="O8" i="31"/>
  <c r="A8" i="31"/>
  <c r="O7" i="31"/>
  <c r="A7" i="31"/>
  <c r="O49" i="30"/>
  <c r="D49" i="30"/>
  <c r="A49" i="30"/>
  <c r="O48" i="30"/>
  <c r="D48" i="30"/>
  <c r="A48" i="30"/>
  <c r="O47" i="30"/>
  <c r="D47" i="30"/>
  <c r="A47" i="30"/>
  <c r="O46" i="30"/>
  <c r="D46" i="30"/>
  <c r="A46" i="30"/>
  <c r="O45" i="30"/>
  <c r="D45" i="30"/>
  <c r="A45" i="30"/>
  <c r="O44" i="30"/>
  <c r="D44" i="30"/>
  <c r="A44" i="30"/>
  <c r="O43" i="30"/>
  <c r="D43" i="30"/>
  <c r="A43" i="30"/>
  <c r="O42" i="30"/>
  <c r="D42" i="30"/>
  <c r="A42" i="30"/>
  <c r="O41" i="30"/>
  <c r="D41" i="30"/>
  <c r="A41" i="30"/>
  <c r="O40" i="30"/>
  <c r="D40" i="30"/>
  <c r="A40" i="30"/>
  <c r="O39" i="30"/>
  <c r="D39" i="30"/>
  <c r="A39" i="30"/>
  <c r="O38" i="30"/>
  <c r="A38" i="30"/>
  <c r="O37" i="30"/>
  <c r="A37" i="30"/>
  <c r="O35" i="30"/>
  <c r="D35" i="30"/>
  <c r="A35" i="30"/>
  <c r="O34" i="30"/>
  <c r="D34" i="30"/>
  <c r="A34" i="30"/>
  <c r="O33" i="30"/>
  <c r="D33" i="30"/>
  <c r="A33" i="30"/>
  <c r="O32" i="30"/>
  <c r="D32" i="30"/>
  <c r="A32" i="30"/>
  <c r="O31" i="30"/>
  <c r="A31" i="30"/>
  <c r="O30" i="30"/>
  <c r="A30" i="30"/>
  <c r="O29" i="30"/>
  <c r="A29" i="30"/>
  <c r="O28" i="30"/>
  <c r="A28" i="30"/>
  <c r="O26" i="30"/>
  <c r="D26" i="30"/>
  <c r="A26" i="30"/>
  <c r="O25" i="30"/>
  <c r="D25" i="30"/>
  <c r="A25" i="30"/>
  <c r="O24" i="30"/>
  <c r="D24" i="30"/>
  <c r="A24" i="30"/>
  <c r="O23" i="30"/>
  <c r="D23" i="30"/>
  <c r="A23" i="30"/>
  <c r="O22" i="30"/>
  <c r="D22" i="30"/>
  <c r="A22" i="30"/>
  <c r="O21" i="30"/>
  <c r="A21" i="30"/>
  <c r="O19" i="30"/>
  <c r="D19" i="30"/>
  <c r="A19" i="30"/>
  <c r="O18" i="30"/>
  <c r="D18" i="30"/>
  <c r="A18" i="30"/>
  <c r="O17" i="30"/>
  <c r="D17" i="30"/>
  <c r="A17" i="30"/>
  <c r="O16" i="30"/>
  <c r="D16" i="30"/>
  <c r="A16" i="30"/>
  <c r="O15" i="30"/>
  <c r="D15" i="30"/>
  <c r="A15" i="30"/>
  <c r="O14" i="30"/>
  <c r="D14" i="30"/>
  <c r="A14" i="30"/>
  <c r="O13" i="30"/>
  <c r="D13" i="30"/>
  <c r="A13" i="30"/>
  <c r="O12" i="30"/>
  <c r="D12" i="30"/>
  <c r="A12" i="30"/>
  <c r="O11" i="30"/>
  <c r="D11" i="30"/>
  <c r="A11" i="30"/>
  <c r="O10" i="30"/>
  <c r="D10" i="30"/>
  <c r="A10" i="30"/>
  <c r="O9" i="30"/>
  <c r="A9" i="30"/>
  <c r="O8" i="30"/>
  <c r="A8" i="30"/>
  <c r="O7" i="30"/>
  <c r="A7" i="30"/>
  <c r="O49" i="29"/>
  <c r="D49" i="29"/>
  <c r="A49" i="29"/>
  <c r="O48" i="29"/>
  <c r="D48" i="29"/>
  <c r="A48" i="29"/>
  <c r="O47" i="29"/>
  <c r="D47" i="29"/>
  <c r="A47" i="29"/>
  <c r="O46" i="29"/>
  <c r="D46" i="29"/>
  <c r="A46" i="29"/>
  <c r="O45" i="29"/>
  <c r="D45" i="29"/>
  <c r="A45" i="29"/>
  <c r="O44" i="29"/>
  <c r="D44" i="29"/>
  <c r="A44" i="29"/>
  <c r="O43" i="29"/>
  <c r="A43" i="29"/>
  <c r="O42" i="29"/>
  <c r="A42" i="29"/>
  <c r="O41" i="29"/>
  <c r="A41" i="29"/>
  <c r="O40" i="29"/>
  <c r="A40" i="29"/>
  <c r="O39" i="29"/>
  <c r="A39" i="29"/>
  <c r="O38" i="29"/>
  <c r="A38" i="29"/>
  <c r="O37" i="29"/>
  <c r="A37" i="29"/>
  <c r="O35" i="29"/>
  <c r="D35" i="29"/>
  <c r="A35" i="29"/>
  <c r="O34" i="29"/>
  <c r="D34" i="29"/>
  <c r="A34" i="29"/>
  <c r="O33" i="29"/>
  <c r="D33" i="29"/>
  <c r="A33" i="29"/>
  <c r="O32" i="29"/>
  <c r="D32" i="29"/>
  <c r="A32" i="29"/>
  <c r="O31" i="29"/>
  <c r="D31" i="29"/>
  <c r="A31" i="29"/>
  <c r="O30" i="29"/>
  <c r="A30" i="29"/>
  <c r="O29" i="29"/>
  <c r="A29" i="29"/>
  <c r="O28" i="29"/>
  <c r="A28" i="29"/>
  <c r="O26" i="29"/>
  <c r="D26" i="29"/>
  <c r="A26" i="29"/>
  <c r="O25" i="29"/>
  <c r="D25" i="29"/>
  <c r="A25" i="29"/>
  <c r="O24" i="29"/>
  <c r="D24" i="29"/>
  <c r="A24" i="29"/>
  <c r="O23" i="29"/>
  <c r="D23" i="29"/>
  <c r="A23" i="29"/>
  <c r="O22" i="29"/>
  <c r="A22" i="29"/>
  <c r="O21" i="29"/>
  <c r="A21" i="29"/>
  <c r="O19" i="29"/>
  <c r="D19" i="29"/>
  <c r="A19" i="29"/>
  <c r="O18" i="29"/>
  <c r="D18" i="29"/>
  <c r="A18" i="29"/>
  <c r="O17" i="29"/>
  <c r="D17" i="29"/>
  <c r="A17" i="29"/>
  <c r="O16" i="29"/>
  <c r="D16" i="29"/>
  <c r="A16" i="29"/>
  <c r="O15" i="29"/>
  <c r="D15" i="29"/>
  <c r="A15" i="29"/>
  <c r="O14" i="29"/>
  <c r="D14" i="29"/>
  <c r="A14" i="29"/>
  <c r="O13" i="29"/>
  <c r="D13" i="29"/>
  <c r="A13" i="29"/>
  <c r="O12" i="29"/>
  <c r="D12" i="29"/>
  <c r="A12" i="29"/>
  <c r="O11" i="29"/>
  <c r="D11" i="29"/>
  <c r="A11" i="29"/>
  <c r="O10" i="29"/>
  <c r="D10" i="29"/>
  <c r="A10" i="29"/>
  <c r="O9" i="29"/>
  <c r="A9" i="29"/>
  <c r="O8" i="29"/>
  <c r="A8" i="29"/>
  <c r="O7" i="29"/>
  <c r="A7" i="29"/>
  <c r="O49" i="28"/>
  <c r="D49" i="28"/>
  <c r="A49" i="28"/>
  <c r="O48" i="28"/>
  <c r="D48" i="28"/>
  <c r="A48" i="28"/>
  <c r="O47" i="28"/>
  <c r="D47" i="28"/>
  <c r="A47" i="28"/>
  <c r="O46" i="28"/>
  <c r="D46" i="28"/>
  <c r="A46" i="28"/>
  <c r="O45" i="28"/>
  <c r="D45" i="28"/>
  <c r="A45" i="28"/>
  <c r="O44" i="28"/>
  <c r="D44" i="28"/>
  <c r="A44" i="28"/>
  <c r="O43" i="28"/>
  <c r="D43" i="28"/>
  <c r="A43" i="28"/>
  <c r="O42" i="28"/>
  <c r="D42" i="28"/>
  <c r="A42" i="28"/>
  <c r="O41" i="28"/>
  <c r="D41" i="28"/>
  <c r="A41" i="28"/>
  <c r="O40" i="28"/>
  <c r="D40" i="28"/>
  <c r="A40" i="28"/>
  <c r="O39" i="28"/>
  <c r="A39" i="28"/>
  <c r="O38" i="28"/>
  <c r="A38" i="28"/>
  <c r="O37" i="28"/>
  <c r="A37" i="28"/>
  <c r="O35" i="28"/>
  <c r="D35" i="28"/>
  <c r="A35" i="28"/>
  <c r="O34" i="28"/>
  <c r="D34" i="28"/>
  <c r="A34" i="28"/>
  <c r="O33" i="28"/>
  <c r="D33" i="28"/>
  <c r="A33" i="28"/>
  <c r="O32" i="28"/>
  <c r="D32" i="28"/>
  <c r="A32" i="28"/>
  <c r="O31" i="28"/>
  <c r="D31" i="28"/>
  <c r="A31" i="28"/>
  <c r="O30" i="28"/>
  <c r="A30" i="28"/>
  <c r="O29" i="28"/>
  <c r="D29" i="28"/>
  <c r="A29" i="28"/>
  <c r="O28" i="28"/>
  <c r="D28" i="28"/>
  <c r="A28" i="28"/>
  <c r="O26" i="28"/>
  <c r="D26" i="28"/>
  <c r="A26" i="28"/>
  <c r="O25" i="28"/>
  <c r="D25" i="28"/>
  <c r="A25" i="28"/>
  <c r="O24" i="28"/>
  <c r="D24" i="28"/>
  <c r="A24" i="28"/>
  <c r="O23" i="28"/>
  <c r="D23" i="28"/>
  <c r="A23" i="28"/>
  <c r="O22" i="28"/>
  <c r="A22" i="28"/>
  <c r="O21" i="28"/>
  <c r="A21" i="28"/>
  <c r="O19" i="28"/>
  <c r="D19" i="28"/>
  <c r="A19" i="28"/>
  <c r="O18" i="28"/>
  <c r="D18" i="28"/>
  <c r="A18" i="28"/>
  <c r="O17" i="28"/>
  <c r="D17" i="28"/>
  <c r="A17" i="28"/>
  <c r="O16" i="28"/>
  <c r="D16" i="28"/>
  <c r="A16" i="28"/>
  <c r="O15" i="28"/>
  <c r="D15" i="28"/>
  <c r="A15" i="28"/>
  <c r="O14" i="28"/>
  <c r="D14" i="28"/>
  <c r="A14" i="28"/>
  <c r="O13" i="28"/>
  <c r="D13" i="28"/>
  <c r="A13" i="28"/>
  <c r="O12" i="28"/>
  <c r="D12" i="28"/>
  <c r="A12" i="28"/>
  <c r="O11" i="28"/>
  <c r="D11" i="28"/>
  <c r="A11" i="28"/>
  <c r="O10" i="28"/>
  <c r="D10" i="28"/>
  <c r="A10" i="28"/>
  <c r="O9" i="28"/>
  <c r="A9" i="28"/>
  <c r="O8" i="28"/>
  <c r="A8" i="28"/>
  <c r="O7" i="28"/>
  <c r="A7" i="28"/>
  <c r="O49" i="27"/>
  <c r="D49" i="27"/>
  <c r="A49" i="27"/>
  <c r="O48" i="27"/>
  <c r="D48" i="27"/>
  <c r="A48" i="27"/>
  <c r="O47" i="27"/>
  <c r="D47" i="27"/>
  <c r="A47" i="27"/>
  <c r="O46" i="27"/>
  <c r="D46" i="27"/>
  <c r="A46" i="27"/>
  <c r="O45" i="27"/>
  <c r="D45" i="27"/>
  <c r="A45" i="27"/>
  <c r="O44" i="27"/>
  <c r="D44" i="27"/>
  <c r="A44" i="27"/>
  <c r="O43" i="27"/>
  <c r="D43" i="27"/>
  <c r="A43" i="27"/>
  <c r="O42" i="27"/>
  <c r="D42" i="27"/>
  <c r="A42" i="27"/>
  <c r="O41" i="27"/>
  <c r="D41" i="27"/>
  <c r="A41" i="27"/>
  <c r="O40" i="27"/>
  <c r="D40" i="27"/>
  <c r="A40" i="27"/>
  <c r="O39" i="27"/>
  <c r="D39" i="27"/>
  <c r="A39" i="27"/>
  <c r="O38" i="27"/>
  <c r="D38" i="27"/>
  <c r="A38" i="27"/>
  <c r="O37" i="27"/>
  <c r="D37" i="27"/>
  <c r="A37" i="27"/>
  <c r="O35" i="27"/>
  <c r="D35" i="27"/>
  <c r="A35" i="27"/>
  <c r="O34" i="27"/>
  <c r="D34" i="27"/>
  <c r="A34" i="27"/>
  <c r="O33" i="27"/>
  <c r="D33" i="27"/>
  <c r="A33" i="27"/>
  <c r="O32" i="27"/>
  <c r="D32" i="27"/>
  <c r="A32" i="27"/>
  <c r="O31" i="27"/>
  <c r="D31" i="27"/>
  <c r="A31" i="27"/>
  <c r="O30" i="27"/>
  <c r="D30" i="27"/>
  <c r="A30" i="27"/>
  <c r="O29" i="27"/>
  <c r="D29" i="27"/>
  <c r="A29" i="27"/>
  <c r="O28" i="27"/>
  <c r="D28" i="27"/>
  <c r="A28" i="27"/>
  <c r="O26" i="27"/>
  <c r="D26" i="27"/>
  <c r="A26" i="27"/>
  <c r="O25" i="27"/>
  <c r="D25" i="27"/>
  <c r="A25" i="27"/>
  <c r="O24" i="27"/>
  <c r="D24" i="27"/>
  <c r="A24" i="27"/>
  <c r="O23" i="27"/>
  <c r="D23" i="27"/>
  <c r="A23" i="27"/>
  <c r="O22" i="27"/>
  <c r="D22" i="27"/>
  <c r="A22" i="27"/>
  <c r="O21" i="27"/>
  <c r="D21" i="27"/>
  <c r="A21" i="27"/>
  <c r="O19" i="27"/>
  <c r="D19" i="27"/>
  <c r="A19" i="27"/>
  <c r="O18" i="27"/>
  <c r="D18" i="27"/>
  <c r="A18" i="27"/>
  <c r="O17" i="27"/>
  <c r="D17" i="27"/>
  <c r="A17" i="27"/>
  <c r="O16" i="27"/>
  <c r="D16" i="27"/>
  <c r="A16" i="27"/>
  <c r="O15" i="27"/>
  <c r="D15" i="27"/>
  <c r="A15" i="27"/>
  <c r="O14" i="27"/>
  <c r="D14" i="27"/>
  <c r="A14" i="27"/>
  <c r="O13" i="27"/>
  <c r="D13" i="27"/>
  <c r="A13" i="27"/>
  <c r="O12" i="27"/>
  <c r="D12" i="27"/>
  <c r="A12" i="27"/>
  <c r="O11" i="27"/>
  <c r="D11" i="27"/>
  <c r="A11" i="27"/>
  <c r="O10" i="27"/>
  <c r="D10" i="27"/>
  <c r="A10" i="27"/>
  <c r="O9" i="27"/>
  <c r="D9" i="27"/>
  <c r="A9" i="27"/>
  <c r="O8" i="27"/>
  <c r="D8" i="27"/>
  <c r="A8" i="27"/>
  <c r="O7" i="27"/>
  <c r="D7" i="27"/>
  <c r="A7" i="27"/>
  <c r="O49" i="23"/>
  <c r="D49" i="23"/>
  <c r="A49" i="23"/>
  <c r="O48" i="23"/>
  <c r="D48" i="23"/>
  <c r="A48" i="23"/>
  <c r="O47" i="23"/>
  <c r="D47" i="23"/>
  <c r="A47" i="23"/>
  <c r="O46" i="23"/>
  <c r="D46" i="23"/>
  <c r="A46" i="23"/>
  <c r="O45" i="23"/>
  <c r="D45" i="23"/>
  <c r="A45" i="23"/>
  <c r="O44" i="23"/>
  <c r="D44" i="23"/>
  <c r="A44" i="23"/>
  <c r="O43" i="23"/>
  <c r="D43" i="23"/>
  <c r="A43" i="23"/>
  <c r="O42" i="23"/>
  <c r="D42" i="23"/>
  <c r="A42" i="23"/>
  <c r="O41" i="23"/>
  <c r="D41" i="23"/>
  <c r="A41" i="23"/>
  <c r="O40" i="23"/>
  <c r="D40" i="23"/>
  <c r="A40" i="23"/>
  <c r="O39" i="23"/>
  <c r="D39" i="23"/>
  <c r="A39" i="23"/>
  <c r="O38" i="23"/>
  <c r="D38" i="23"/>
  <c r="A38" i="23"/>
  <c r="O37" i="23"/>
  <c r="D37" i="23"/>
  <c r="A37" i="23"/>
  <c r="O35" i="23"/>
  <c r="D35" i="23"/>
  <c r="A35" i="23"/>
  <c r="O34" i="23"/>
  <c r="D34" i="23"/>
  <c r="A34" i="23"/>
  <c r="O33" i="23"/>
  <c r="D33" i="23"/>
  <c r="A33" i="23"/>
  <c r="O32" i="23"/>
  <c r="D32" i="23"/>
  <c r="A32" i="23"/>
  <c r="O31" i="23"/>
  <c r="D31" i="23"/>
  <c r="A31" i="23"/>
  <c r="O30" i="23"/>
  <c r="D30" i="23"/>
  <c r="A30" i="23"/>
  <c r="O29" i="23"/>
  <c r="D29" i="23"/>
  <c r="A29" i="23"/>
  <c r="O28" i="23"/>
  <c r="D28" i="23"/>
  <c r="A28" i="23"/>
  <c r="O26" i="23"/>
  <c r="D26" i="23"/>
  <c r="A26" i="23"/>
  <c r="O25" i="23"/>
  <c r="D25" i="23"/>
  <c r="A25" i="23"/>
  <c r="O24" i="23"/>
  <c r="D24" i="23"/>
  <c r="A24" i="23"/>
  <c r="O23" i="23"/>
  <c r="D23" i="23"/>
  <c r="A23" i="23"/>
  <c r="O22" i="23"/>
  <c r="D22" i="23"/>
  <c r="A22" i="23"/>
  <c r="O21" i="23"/>
  <c r="D21" i="23"/>
  <c r="A21" i="23"/>
  <c r="O19" i="23"/>
  <c r="D19" i="23"/>
  <c r="A19" i="23"/>
  <c r="O18" i="23"/>
  <c r="D18" i="23"/>
  <c r="A18" i="23"/>
  <c r="O17" i="23"/>
  <c r="D17" i="23"/>
  <c r="A17" i="23"/>
  <c r="O16" i="23"/>
  <c r="D16" i="23"/>
  <c r="A16" i="23"/>
  <c r="O15" i="23"/>
  <c r="D15" i="23"/>
  <c r="A15" i="23"/>
  <c r="O14" i="23"/>
  <c r="D14" i="23"/>
  <c r="A14" i="23"/>
  <c r="O13" i="23"/>
  <c r="D13" i="23"/>
  <c r="A13" i="23"/>
  <c r="O12" i="23"/>
  <c r="D12" i="23"/>
  <c r="A12" i="23"/>
  <c r="O11" i="23"/>
  <c r="D11" i="23"/>
  <c r="A11" i="23"/>
  <c r="O10" i="23"/>
  <c r="D10" i="23"/>
  <c r="A10" i="23"/>
  <c r="O9" i="23"/>
  <c r="D9" i="23"/>
  <c r="A9" i="23"/>
  <c r="O8" i="23"/>
  <c r="D8" i="23"/>
  <c r="A8" i="23"/>
  <c r="O7" i="23"/>
  <c r="D7" i="23"/>
  <c r="A7" i="23"/>
  <c r="O49" i="22"/>
  <c r="D49" i="22"/>
  <c r="A49" i="22"/>
  <c r="O48" i="22"/>
  <c r="D48" i="22"/>
  <c r="A48" i="22"/>
  <c r="O47" i="22"/>
  <c r="D47" i="22"/>
  <c r="A47" i="22"/>
  <c r="O46" i="22"/>
  <c r="D46" i="22"/>
  <c r="A46" i="22"/>
  <c r="O45" i="22"/>
  <c r="D45" i="22"/>
  <c r="A45" i="22"/>
  <c r="O44" i="22"/>
  <c r="D44" i="22"/>
  <c r="A44" i="22"/>
  <c r="O43" i="22"/>
  <c r="D43" i="22"/>
  <c r="A43" i="22"/>
  <c r="O42" i="22"/>
  <c r="D42" i="22"/>
  <c r="A42" i="22"/>
  <c r="O41" i="22"/>
  <c r="D41" i="22"/>
  <c r="A41" i="22"/>
  <c r="O40" i="22"/>
  <c r="D40" i="22"/>
  <c r="A40" i="22"/>
  <c r="O39" i="22"/>
  <c r="D39" i="22"/>
  <c r="A39" i="22"/>
  <c r="O38" i="22"/>
  <c r="D38" i="22"/>
  <c r="A38" i="22"/>
  <c r="O37" i="22"/>
  <c r="D37" i="22"/>
  <c r="A37" i="22"/>
  <c r="O35" i="22"/>
  <c r="D35" i="22"/>
  <c r="A35" i="22"/>
  <c r="O34" i="22"/>
  <c r="D34" i="22"/>
  <c r="A34" i="22"/>
  <c r="O33" i="22"/>
  <c r="D33" i="22"/>
  <c r="A33" i="22"/>
  <c r="O32" i="22"/>
  <c r="D32" i="22"/>
  <c r="A32" i="22"/>
  <c r="O31" i="22"/>
  <c r="D31" i="22"/>
  <c r="A31" i="22"/>
  <c r="O30" i="22"/>
  <c r="D30" i="22"/>
  <c r="A30" i="22"/>
  <c r="O29" i="22"/>
  <c r="D29" i="22"/>
  <c r="A29" i="22"/>
  <c r="O28" i="22"/>
  <c r="D28" i="22"/>
  <c r="A28" i="22"/>
  <c r="O26" i="22"/>
  <c r="D26" i="22"/>
  <c r="A26" i="22"/>
  <c r="O25" i="22"/>
  <c r="D25" i="22"/>
  <c r="A25" i="22"/>
  <c r="O24" i="22"/>
  <c r="D24" i="22"/>
  <c r="A24" i="22"/>
  <c r="O23" i="22"/>
  <c r="D23" i="22"/>
  <c r="A23" i="22"/>
  <c r="O22" i="22"/>
  <c r="D22" i="22"/>
  <c r="A22" i="22"/>
  <c r="O21" i="22"/>
  <c r="D21" i="22"/>
  <c r="A21" i="22"/>
  <c r="O19" i="22"/>
  <c r="D19" i="22"/>
  <c r="A19" i="22"/>
  <c r="O18" i="22"/>
  <c r="D18" i="22"/>
  <c r="A18" i="22"/>
  <c r="O17" i="22"/>
  <c r="D17" i="22"/>
  <c r="A17" i="22"/>
  <c r="O16" i="22"/>
  <c r="D16" i="22"/>
  <c r="A16" i="22"/>
  <c r="O15" i="22"/>
  <c r="D15" i="22"/>
  <c r="A15" i="22"/>
  <c r="O14" i="22"/>
  <c r="D14" i="22"/>
  <c r="A14" i="22"/>
  <c r="O13" i="22"/>
  <c r="D13" i="22"/>
  <c r="A13" i="22"/>
  <c r="O12" i="22"/>
  <c r="D12" i="22"/>
  <c r="A12" i="22"/>
  <c r="O11" i="22"/>
  <c r="D11" i="22"/>
  <c r="A11" i="22"/>
  <c r="O10" i="22"/>
  <c r="D10" i="22"/>
  <c r="A10" i="22"/>
  <c r="O9" i="22"/>
  <c r="D9" i="22"/>
  <c r="A9" i="22"/>
  <c r="O8" i="22"/>
  <c r="D8" i="22"/>
  <c r="A8" i="22"/>
  <c r="O7" i="22"/>
  <c r="D7" i="22"/>
  <c r="A7" i="22"/>
  <c r="O49" i="21"/>
  <c r="D49" i="21"/>
  <c r="A49" i="21"/>
  <c r="O48" i="21"/>
  <c r="D48" i="21"/>
  <c r="A48" i="21"/>
  <c r="O47" i="21"/>
  <c r="D47" i="21"/>
  <c r="A47" i="21"/>
  <c r="O46" i="21"/>
  <c r="D46" i="21"/>
  <c r="A46" i="21"/>
  <c r="O45" i="21"/>
  <c r="D45" i="21"/>
  <c r="A45" i="21"/>
  <c r="O44" i="21"/>
  <c r="D44" i="21"/>
  <c r="A44" i="21"/>
  <c r="O43" i="21"/>
  <c r="D43" i="21"/>
  <c r="A43" i="21"/>
  <c r="O42" i="21"/>
  <c r="D42" i="21"/>
  <c r="A42" i="21"/>
  <c r="O41" i="21"/>
  <c r="D41" i="21"/>
  <c r="A41" i="21"/>
  <c r="O40" i="21"/>
  <c r="D40" i="21"/>
  <c r="A40" i="21"/>
  <c r="O39" i="21"/>
  <c r="D39" i="21"/>
  <c r="A39" i="21"/>
  <c r="O38" i="21"/>
  <c r="D38" i="21"/>
  <c r="A38" i="21"/>
  <c r="O37" i="21"/>
  <c r="D37" i="21"/>
  <c r="A37" i="21"/>
  <c r="O35" i="21"/>
  <c r="D35" i="21"/>
  <c r="A35" i="21"/>
  <c r="O34" i="21"/>
  <c r="D34" i="21"/>
  <c r="A34" i="21"/>
  <c r="O33" i="21"/>
  <c r="D33" i="21"/>
  <c r="A33" i="21"/>
  <c r="O32" i="21"/>
  <c r="D32" i="21"/>
  <c r="A32" i="21"/>
  <c r="O31" i="21"/>
  <c r="A31" i="21"/>
  <c r="O30" i="21"/>
  <c r="A30" i="21"/>
  <c r="O29" i="21"/>
  <c r="A29" i="21"/>
  <c r="O28" i="21"/>
  <c r="A28" i="21"/>
  <c r="O26" i="21"/>
  <c r="D26" i="21"/>
  <c r="A26" i="21"/>
  <c r="O25" i="21"/>
  <c r="D25" i="21"/>
  <c r="A25" i="21"/>
  <c r="O24" i="21"/>
  <c r="D24" i="21"/>
  <c r="A24" i="21"/>
  <c r="O23" i="21"/>
  <c r="D23" i="21"/>
  <c r="A23" i="21"/>
  <c r="O22" i="21"/>
  <c r="A22" i="21"/>
  <c r="O21" i="21"/>
  <c r="A21" i="21"/>
  <c r="O19" i="21"/>
  <c r="D19" i="21"/>
  <c r="A19" i="21"/>
  <c r="O18" i="21"/>
  <c r="D18" i="21"/>
  <c r="A18" i="21"/>
  <c r="O17" i="21"/>
  <c r="D17" i="21"/>
  <c r="A17" i="21"/>
  <c r="O16" i="21"/>
  <c r="D16" i="21"/>
  <c r="A16" i="21"/>
  <c r="O15" i="21"/>
  <c r="D15" i="21"/>
  <c r="A15" i="21"/>
  <c r="O14" i="21"/>
  <c r="D14" i="21"/>
  <c r="A14" i="21"/>
  <c r="O13" i="21"/>
  <c r="D13" i="21"/>
  <c r="A13" i="21"/>
  <c r="O12" i="21"/>
  <c r="D12" i="21"/>
  <c r="A12" i="21"/>
  <c r="O11" i="21"/>
  <c r="D11" i="21"/>
  <c r="A11" i="21"/>
  <c r="O10" i="21"/>
  <c r="D10" i="21"/>
  <c r="A10" i="21"/>
  <c r="O9" i="21"/>
  <c r="D9" i="21"/>
  <c r="A9" i="21"/>
  <c r="O8" i="21"/>
  <c r="A8" i="21"/>
  <c r="O7" i="21"/>
  <c r="A7" i="21"/>
  <c r="O49" i="20"/>
  <c r="D49" i="20"/>
  <c r="A49" i="20"/>
  <c r="O48" i="20"/>
  <c r="D48" i="20"/>
  <c r="A48" i="20"/>
  <c r="O47" i="20"/>
  <c r="D47" i="20"/>
  <c r="A47" i="20"/>
  <c r="O46" i="20"/>
  <c r="D46" i="20"/>
  <c r="A46" i="20"/>
  <c r="O45" i="20"/>
  <c r="D45" i="20"/>
  <c r="A45" i="20"/>
  <c r="O44" i="20"/>
  <c r="D44" i="20"/>
  <c r="A44" i="20"/>
  <c r="O43" i="20"/>
  <c r="D43" i="20"/>
  <c r="A43" i="20"/>
  <c r="O42" i="20"/>
  <c r="D42" i="20"/>
  <c r="A42" i="20"/>
  <c r="O41" i="20"/>
  <c r="D41" i="20"/>
  <c r="A41" i="20"/>
  <c r="O40" i="20"/>
  <c r="D40" i="20"/>
  <c r="A40" i="20"/>
  <c r="O39" i="20"/>
  <c r="D39" i="20"/>
  <c r="A39" i="20"/>
  <c r="O38" i="20"/>
  <c r="D38" i="20"/>
  <c r="A38" i="20"/>
  <c r="O37" i="20"/>
  <c r="D37" i="20"/>
  <c r="A37" i="20"/>
  <c r="O35" i="20"/>
  <c r="D35" i="20"/>
  <c r="A35" i="20"/>
  <c r="O34" i="20"/>
  <c r="D34" i="20"/>
  <c r="A34" i="20"/>
  <c r="O33" i="20"/>
  <c r="D33" i="20"/>
  <c r="A33" i="20"/>
  <c r="O32" i="20"/>
  <c r="D32" i="20"/>
  <c r="A32" i="20"/>
  <c r="O31" i="20"/>
  <c r="D31" i="20"/>
  <c r="A31" i="20"/>
  <c r="O30" i="20"/>
  <c r="D30" i="20"/>
  <c r="A30" i="20"/>
  <c r="O29" i="20"/>
  <c r="A29" i="20"/>
  <c r="O28" i="20"/>
  <c r="D28" i="20"/>
  <c r="A28" i="20"/>
  <c r="O26" i="20"/>
  <c r="D26" i="20"/>
  <c r="A26" i="20"/>
  <c r="O25" i="20"/>
  <c r="D25" i="20"/>
  <c r="A25" i="20"/>
  <c r="O24" i="20"/>
  <c r="D24" i="20"/>
  <c r="A24" i="20"/>
  <c r="O23" i="20"/>
  <c r="D23" i="20"/>
  <c r="A23" i="20"/>
  <c r="O22" i="20"/>
  <c r="D22" i="20"/>
  <c r="A22" i="20"/>
  <c r="O21" i="20"/>
  <c r="D21" i="20"/>
  <c r="A21" i="20"/>
  <c r="O19" i="20"/>
  <c r="D19" i="20"/>
  <c r="A19" i="20"/>
  <c r="O18" i="20"/>
  <c r="D18" i="20"/>
  <c r="A18" i="20"/>
  <c r="O17" i="20"/>
  <c r="D17" i="20"/>
  <c r="A17" i="20"/>
  <c r="O16" i="20"/>
  <c r="D16" i="20"/>
  <c r="A16" i="20"/>
  <c r="O15" i="20"/>
  <c r="D15" i="20"/>
  <c r="A15" i="20"/>
  <c r="O14" i="20"/>
  <c r="D14" i="20"/>
  <c r="A14" i="20"/>
  <c r="O13" i="20"/>
  <c r="D13" i="20"/>
  <c r="A13" i="20"/>
  <c r="O12" i="20"/>
  <c r="D12" i="20"/>
  <c r="A12" i="20"/>
  <c r="O11" i="20"/>
  <c r="D11" i="20"/>
  <c r="A11" i="20"/>
  <c r="O10" i="20"/>
  <c r="D10" i="20"/>
  <c r="A10" i="20"/>
  <c r="O9" i="20"/>
  <c r="D9" i="20"/>
  <c r="A9" i="20"/>
  <c r="O8" i="20"/>
  <c r="D8" i="20"/>
  <c r="A8" i="20"/>
  <c r="O7" i="20"/>
  <c r="D7" i="20"/>
  <c r="A7" i="20"/>
  <c r="O49" i="19"/>
  <c r="D49" i="19"/>
  <c r="A49" i="19"/>
  <c r="O48" i="19"/>
  <c r="D48" i="19"/>
  <c r="A48" i="19"/>
  <c r="O47" i="19"/>
  <c r="D47" i="19"/>
  <c r="A47" i="19"/>
  <c r="O46" i="19"/>
  <c r="D46" i="19"/>
  <c r="A46" i="19"/>
  <c r="O45" i="19"/>
  <c r="D45" i="19"/>
  <c r="A45" i="19"/>
  <c r="O44" i="19"/>
  <c r="D44" i="19"/>
  <c r="A44" i="19"/>
  <c r="O43" i="19"/>
  <c r="D43" i="19"/>
  <c r="A43" i="19"/>
  <c r="O42" i="19"/>
  <c r="D42" i="19"/>
  <c r="A42" i="19"/>
  <c r="O41" i="19"/>
  <c r="D41" i="19"/>
  <c r="A41" i="19"/>
  <c r="O40" i="19"/>
  <c r="D40" i="19"/>
  <c r="A40" i="19"/>
  <c r="O39" i="19"/>
  <c r="D39" i="19"/>
  <c r="A39" i="19"/>
  <c r="O38" i="19"/>
  <c r="D38" i="19"/>
  <c r="A38" i="19"/>
  <c r="O37" i="19"/>
  <c r="D37" i="19"/>
  <c r="A37" i="19"/>
  <c r="O35" i="19"/>
  <c r="D35" i="19"/>
  <c r="A35" i="19"/>
  <c r="O34" i="19"/>
  <c r="D34" i="19"/>
  <c r="A34" i="19"/>
  <c r="O33" i="19"/>
  <c r="D33" i="19"/>
  <c r="A33" i="19"/>
  <c r="O32" i="19"/>
  <c r="D32" i="19"/>
  <c r="A32" i="19"/>
  <c r="O31" i="19"/>
  <c r="D31" i="19"/>
  <c r="A31" i="19"/>
  <c r="O30" i="19"/>
  <c r="D30" i="19"/>
  <c r="A30" i="19"/>
  <c r="O29" i="19"/>
  <c r="D29" i="19"/>
  <c r="A29" i="19"/>
  <c r="O28" i="19"/>
  <c r="D28" i="19"/>
  <c r="A28" i="19"/>
  <c r="O26" i="19"/>
  <c r="D26" i="19"/>
  <c r="A26" i="19"/>
  <c r="O25" i="19"/>
  <c r="D25" i="19"/>
  <c r="A25" i="19"/>
  <c r="O24" i="19"/>
  <c r="D24" i="19"/>
  <c r="A24" i="19"/>
  <c r="O23" i="19"/>
  <c r="D23" i="19"/>
  <c r="A23" i="19"/>
  <c r="O22" i="19"/>
  <c r="D22" i="19"/>
  <c r="A22" i="19"/>
  <c r="O21" i="19"/>
  <c r="D21" i="19"/>
  <c r="A21" i="19"/>
  <c r="O19" i="19"/>
  <c r="D19" i="19"/>
  <c r="A19" i="19"/>
  <c r="O18" i="19"/>
  <c r="D18" i="19"/>
  <c r="A18" i="19"/>
  <c r="O17" i="19"/>
  <c r="D17" i="19"/>
  <c r="A17" i="19"/>
  <c r="O16" i="19"/>
  <c r="D16" i="19"/>
  <c r="A16" i="19"/>
  <c r="O15" i="19"/>
  <c r="D15" i="19"/>
  <c r="A15" i="19"/>
  <c r="O14" i="19"/>
  <c r="D14" i="19"/>
  <c r="A14" i="19"/>
  <c r="O13" i="19"/>
  <c r="D13" i="19"/>
  <c r="A13" i="19"/>
  <c r="O12" i="19"/>
  <c r="D12" i="19"/>
  <c r="A12" i="19"/>
  <c r="O11" i="19"/>
  <c r="D11" i="19"/>
  <c r="A11" i="19"/>
  <c r="O10" i="19"/>
  <c r="D10" i="19"/>
  <c r="A10" i="19"/>
  <c r="O9" i="19"/>
  <c r="D9" i="19"/>
  <c r="A9" i="19"/>
  <c r="O8" i="19"/>
  <c r="D8" i="19"/>
  <c r="A8" i="19"/>
  <c r="O7" i="19"/>
  <c r="D7" i="19"/>
  <c r="A7" i="19"/>
  <c r="O49" i="18"/>
  <c r="D49" i="18"/>
  <c r="A49" i="18"/>
  <c r="O48" i="18"/>
  <c r="D48" i="18"/>
  <c r="A48" i="18"/>
  <c r="O47" i="18"/>
  <c r="D47" i="18"/>
  <c r="A47" i="18"/>
  <c r="O46" i="18"/>
  <c r="D46" i="18"/>
  <c r="A46" i="18"/>
  <c r="O45" i="18"/>
  <c r="D45" i="18"/>
  <c r="A45" i="18"/>
  <c r="O44" i="18"/>
  <c r="D44" i="18"/>
  <c r="A44" i="18"/>
  <c r="O43" i="18"/>
  <c r="D43" i="18"/>
  <c r="A43" i="18"/>
  <c r="O42" i="18"/>
  <c r="D42" i="18"/>
  <c r="A42" i="18"/>
  <c r="O41" i="18"/>
  <c r="D41" i="18"/>
  <c r="A41" i="18"/>
  <c r="O40" i="18"/>
  <c r="D40" i="18"/>
  <c r="A40" i="18"/>
  <c r="O39" i="18"/>
  <c r="D39" i="18"/>
  <c r="A39" i="18"/>
  <c r="O38" i="18"/>
  <c r="A38" i="18"/>
  <c r="O37" i="18"/>
  <c r="D37" i="18"/>
  <c r="A37" i="18"/>
  <c r="O35" i="18"/>
  <c r="D35" i="18"/>
  <c r="A35" i="18"/>
  <c r="O34" i="18"/>
  <c r="D34" i="18"/>
  <c r="A34" i="18"/>
  <c r="O33" i="18"/>
  <c r="D33" i="18"/>
  <c r="A33" i="18"/>
  <c r="O32" i="18"/>
  <c r="D32" i="18"/>
  <c r="A32" i="18"/>
  <c r="O31" i="18"/>
  <c r="D31" i="18"/>
  <c r="A31" i="18"/>
  <c r="O30" i="18"/>
  <c r="A30" i="18"/>
  <c r="O29" i="18"/>
  <c r="D29" i="18"/>
  <c r="A29" i="18"/>
  <c r="O28" i="18"/>
  <c r="D28" i="18"/>
  <c r="A28" i="18"/>
  <c r="O26" i="18"/>
  <c r="D26" i="18"/>
  <c r="A26" i="18"/>
  <c r="O25" i="18"/>
  <c r="D25" i="18"/>
  <c r="A25" i="18"/>
  <c r="O24" i="18"/>
  <c r="D24" i="18"/>
  <c r="A24" i="18"/>
  <c r="O23" i="18"/>
  <c r="D23" i="18"/>
  <c r="A23" i="18"/>
  <c r="O22" i="18"/>
  <c r="D22" i="18"/>
  <c r="A22" i="18"/>
  <c r="O21" i="18"/>
  <c r="A21" i="18"/>
  <c r="O19" i="18"/>
  <c r="D19" i="18"/>
  <c r="A19" i="18"/>
  <c r="O18" i="18"/>
  <c r="D18" i="18"/>
  <c r="A18" i="18"/>
  <c r="O17" i="18"/>
  <c r="D17" i="18"/>
  <c r="A17" i="18"/>
  <c r="O16" i="18"/>
  <c r="D16" i="18"/>
  <c r="A16" i="18"/>
  <c r="O15" i="18"/>
  <c r="D15" i="18"/>
  <c r="A15" i="18"/>
  <c r="O14" i="18"/>
  <c r="D14" i="18"/>
  <c r="A14" i="18"/>
  <c r="O13" i="18"/>
  <c r="D13" i="18"/>
  <c r="A13" i="18"/>
  <c r="O12" i="18"/>
  <c r="D12" i="18"/>
  <c r="A12" i="18"/>
  <c r="O11" i="18"/>
  <c r="D11" i="18"/>
  <c r="A11" i="18"/>
  <c r="O10" i="18"/>
  <c r="D10" i="18"/>
  <c r="A10" i="18"/>
  <c r="O9" i="18"/>
  <c r="D9" i="18"/>
  <c r="A9" i="18"/>
  <c r="O8" i="18"/>
  <c r="D8" i="18"/>
  <c r="A8" i="18"/>
  <c r="O7" i="18"/>
  <c r="A7" i="18"/>
  <c r="O49" i="17"/>
  <c r="D49" i="17"/>
  <c r="A49" i="17"/>
  <c r="O48" i="17"/>
  <c r="D48" i="17"/>
  <c r="A48" i="17"/>
  <c r="O47" i="17"/>
  <c r="D47" i="17"/>
  <c r="A47" i="17"/>
  <c r="O46" i="17"/>
  <c r="D46" i="17"/>
  <c r="A46" i="17"/>
  <c r="O45" i="17"/>
  <c r="D45" i="17"/>
  <c r="A45" i="17"/>
  <c r="O44" i="17"/>
  <c r="D44" i="17"/>
  <c r="A44" i="17"/>
  <c r="O43" i="17"/>
  <c r="D43" i="17"/>
  <c r="A43" i="17"/>
  <c r="O42" i="17"/>
  <c r="D42" i="17"/>
  <c r="A42" i="17"/>
  <c r="O41" i="17"/>
  <c r="D41" i="17"/>
  <c r="A41" i="17"/>
  <c r="O40" i="17"/>
  <c r="D40" i="17"/>
  <c r="A40" i="17"/>
  <c r="O39" i="17"/>
  <c r="A39" i="17"/>
  <c r="O38" i="17"/>
  <c r="D38" i="17"/>
  <c r="A38" i="17"/>
  <c r="O37" i="17"/>
  <c r="D37" i="17"/>
  <c r="A37" i="17"/>
  <c r="O35" i="17"/>
  <c r="D35" i="17"/>
  <c r="A35" i="17"/>
  <c r="O34" i="17"/>
  <c r="D34" i="17"/>
  <c r="A34" i="17"/>
  <c r="O33" i="17"/>
  <c r="D33" i="17"/>
  <c r="A33" i="17"/>
  <c r="O32" i="17"/>
  <c r="D32" i="17"/>
  <c r="A32" i="17"/>
  <c r="O31" i="17"/>
  <c r="D31" i="17"/>
  <c r="A31" i="17"/>
  <c r="O30" i="17"/>
  <c r="D30" i="17"/>
  <c r="A30" i="17"/>
  <c r="O29" i="17"/>
  <c r="D29" i="17"/>
  <c r="A29" i="17"/>
  <c r="O28" i="17"/>
  <c r="D28" i="17"/>
  <c r="A28" i="17"/>
  <c r="O26" i="17"/>
  <c r="D26" i="17"/>
  <c r="A26" i="17"/>
  <c r="O25" i="17"/>
  <c r="D25" i="17"/>
  <c r="A25" i="17"/>
  <c r="O24" i="17"/>
  <c r="D24" i="17"/>
  <c r="A24" i="17"/>
  <c r="O23" i="17"/>
  <c r="D23" i="17"/>
  <c r="A23" i="17"/>
  <c r="O22" i="17"/>
  <c r="A22" i="17"/>
  <c r="O21" i="17"/>
  <c r="D21" i="17"/>
  <c r="A21" i="17"/>
  <c r="O19" i="17"/>
  <c r="D19" i="17"/>
  <c r="A19" i="17"/>
  <c r="O18" i="17"/>
  <c r="D18" i="17"/>
  <c r="A18" i="17"/>
  <c r="O17" i="17"/>
  <c r="D17" i="17"/>
  <c r="A17" i="17"/>
  <c r="O16" i="17"/>
  <c r="D16" i="17"/>
  <c r="A16" i="17"/>
  <c r="O15" i="17"/>
  <c r="D15" i="17"/>
  <c r="A15" i="17"/>
  <c r="O14" i="17"/>
  <c r="D14" i="17"/>
  <c r="A14" i="17"/>
  <c r="O13" i="17"/>
  <c r="D13" i="17"/>
  <c r="A13" i="17"/>
  <c r="O12" i="17"/>
  <c r="D12" i="17"/>
  <c r="A12" i="17"/>
  <c r="O11" i="17"/>
  <c r="D11" i="17"/>
  <c r="A11" i="17"/>
  <c r="O10" i="17"/>
  <c r="D10" i="17"/>
  <c r="A10" i="17"/>
  <c r="O9" i="17"/>
  <c r="D9" i="17"/>
  <c r="A9" i="17"/>
  <c r="O8" i="17"/>
  <c r="A8" i="17"/>
  <c r="O7" i="17"/>
  <c r="D7" i="17"/>
  <c r="A7" i="17"/>
  <c r="O49" i="16"/>
  <c r="D49" i="16"/>
  <c r="A49" i="16"/>
  <c r="O48" i="16"/>
  <c r="D48" i="16"/>
  <c r="A48" i="16"/>
  <c r="O47" i="16"/>
  <c r="D47" i="16"/>
  <c r="A47" i="16"/>
  <c r="O46" i="16"/>
  <c r="D46" i="16"/>
  <c r="A46" i="16"/>
  <c r="O45" i="16"/>
  <c r="D45" i="16"/>
  <c r="A45" i="16"/>
  <c r="O44" i="16"/>
  <c r="D44" i="16"/>
  <c r="A44" i="16"/>
  <c r="O43" i="16"/>
  <c r="D43" i="16"/>
  <c r="A43" i="16"/>
  <c r="O42" i="16"/>
  <c r="D42" i="16"/>
  <c r="A42" i="16"/>
  <c r="O41" i="16"/>
  <c r="A41" i="16"/>
  <c r="O40" i="16"/>
  <c r="A40" i="16"/>
  <c r="O39" i="16"/>
  <c r="A39" i="16"/>
  <c r="O38" i="16"/>
  <c r="A38" i="16"/>
  <c r="O37" i="16"/>
  <c r="A37" i="16"/>
  <c r="O35" i="16"/>
  <c r="D35" i="16"/>
  <c r="A35" i="16"/>
  <c r="O34" i="16"/>
  <c r="D34" i="16"/>
  <c r="A34" i="16"/>
  <c r="O33" i="16"/>
  <c r="D33" i="16"/>
  <c r="A33" i="16"/>
  <c r="O32" i="16"/>
  <c r="D32" i="16"/>
  <c r="A32" i="16"/>
  <c r="O31" i="16"/>
  <c r="D31" i="16"/>
  <c r="A31" i="16"/>
  <c r="O30" i="16"/>
  <c r="D30" i="16"/>
  <c r="A30" i="16"/>
  <c r="O29" i="16"/>
  <c r="D29" i="16"/>
  <c r="A29" i="16"/>
  <c r="O28" i="16"/>
  <c r="D28" i="16"/>
  <c r="A28" i="16"/>
  <c r="O26" i="16"/>
  <c r="D26" i="16"/>
  <c r="A26" i="16"/>
  <c r="O25" i="16"/>
  <c r="D25" i="16"/>
  <c r="A25" i="16"/>
  <c r="O24" i="16"/>
  <c r="D24" i="16"/>
  <c r="A24" i="16"/>
  <c r="O23" i="16"/>
  <c r="D23" i="16"/>
  <c r="A23" i="16"/>
  <c r="O22" i="16"/>
  <c r="D22" i="16"/>
  <c r="A22" i="16"/>
  <c r="O21" i="16"/>
  <c r="D21" i="16"/>
  <c r="A21" i="16"/>
  <c r="O19" i="16"/>
  <c r="D19" i="16"/>
  <c r="A19" i="16"/>
  <c r="O18" i="16"/>
  <c r="D18" i="16"/>
  <c r="A18" i="16"/>
  <c r="O17" i="16"/>
  <c r="D17" i="16"/>
  <c r="A17" i="16"/>
  <c r="O16" i="16"/>
  <c r="D16" i="16"/>
  <c r="A16" i="16"/>
  <c r="O15" i="16"/>
  <c r="D15" i="16"/>
  <c r="A15" i="16"/>
  <c r="O14" i="16"/>
  <c r="D14" i="16"/>
  <c r="A14" i="16"/>
  <c r="O13" i="16"/>
  <c r="D13" i="16"/>
  <c r="A13" i="16"/>
  <c r="O12" i="16"/>
  <c r="D12" i="16"/>
  <c r="A12" i="16"/>
  <c r="O11" i="16"/>
  <c r="D11" i="16"/>
  <c r="A11" i="16"/>
  <c r="O10" i="16"/>
  <c r="D10" i="16"/>
  <c r="A10" i="16"/>
  <c r="O9" i="16"/>
  <c r="D9" i="16"/>
  <c r="A9" i="16"/>
  <c r="O8" i="16"/>
  <c r="D8" i="16"/>
  <c r="A8" i="16"/>
  <c r="O7" i="16"/>
  <c r="A7" i="16"/>
  <c r="O49" i="15"/>
  <c r="D49" i="15"/>
  <c r="A49" i="15"/>
  <c r="O48" i="15"/>
  <c r="D48" i="15"/>
  <c r="A48" i="15"/>
  <c r="O47" i="15"/>
  <c r="D47" i="15"/>
  <c r="A47" i="15"/>
  <c r="O46" i="15"/>
  <c r="D46" i="15"/>
  <c r="A46" i="15"/>
  <c r="O45" i="15"/>
  <c r="D45" i="15"/>
  <c r="A45" i="15"/>
  <c r="O44" i="15"/>
  <c r="D44" i="15"/>
  <c r="A44" i="15"/>
  <c r="O43" i="15"/>
  <c r="D43" i="15"/>
  <c r="A43" i="15"/>
  <c r="O42" i="15"/>
  <c r="D42" i="15"/>
  <c r="A42" i="15"/>
  <c r="O41" i="15"/>
  <c r="A41" i="15"/>
  <c r="O40" i="15"/>
  <c r="D40" i="15"/>
  <c r="A40" i="15"/>
  <c r="O39" i="15"/>
  <c r="D39" i="15"/>
  <c r="A39" i="15"/>
  <c r="O38" i="15"/>
  <c r="D38" i="15"/>
  <c r="A38" i="15"/>
  <c r="O37" i="15"/>
  <c r="D37" i="15"/>
  <c r="A37" i="15"/>
  <c r="O35" i="15"/>
  <c r="D35" i="15"/>
  <c r="A35" i="15"/>
  <c r="O34" i="15"/>
  <c r="D34" i="15"/>
  <c r="A34" i="15"/>
  <c r="O33" i="15"/>
  <c r="D33" i="15"/>
  <c r="A33" i="15"/>
  <c r="O32" i="15"/>
  <c r="D32" i="15"/>
  <c r="A32" i="15"/>
  <c r="O31" i="15"/>
  <c r="D31" i="15"/>
  <c r="A31" i="15"/>
  <c r="O30" i="15"/>
  <c r="D30" i="15"/>
  <c r="A30" i="15"/>
  <c r="O29" i="15"/>
  <c r="A29" i="15"/>
  <c r="O28" i="15"/>
  <c r="D28" i="15"/>
  <c r="A28" i="15"/>
  <c r="O26" i="15"/>
  <c r="D26" i="15"/>
  <c r="A26" i="15"/>
  <c r="O25" i="15"/>
  <c r="D25" i="15"/>
  <c r="A25" i="15"/>
  <c r="O24" i="15"/>
  <c r="A24" i="15"/>
  <c r="O23" i="15"/>
  <c r="A23" i="15"/>
  <c r="O22" i="15"/>
  <c r="A22" i="15"/>
  <c r="O21" i="15"/>
  <c r="A21" i="15"/>
  <c r="O19" i="15"/>
  <c r="D19" i="15"/>
  <c r="A19" i="15"/>
  <c r="O18" i="15"/>
  <c r="D18" i="15"/>
  <c r="A18" i="15"/>
  <c r="O17" i="15"/>
  <c r="D17" i="15"/>
  <c r="A17" i="15"/>
  <c r="O16" i="15"/>
  <c r="D16" i="15"/>
  <c r="A16" i="15"/>
  <c r="O15" i="15"/>
  <c r="D15" i="15"/>
  <c r="A15" i="15"/>
  <c r="O14" i="15"/>
  <c r="A14" i="15"/>
  <c r="O13" i="15"/>
  <c r="D13" i="15"/>
  <c r="A13" i="15"/>
  <c r="O12" i="15"/>
  <c r="D12" i="15"/>
  <c r="A12" i="15"/>
  <c r="O11" i="15"/>
  <c r="A11" i="15"/>
  <c r="O10" i="15"/>
  <c r="A10" i="15"/>
  <c r="O9" i="15"/>
  <c r="D9" i="15"/>
  <c r="A9" i="15"/>
  <c r="O8" i="15"/>
  <c r="D8" i="15"/>
  <c r="A8" i="15"/>
  <c r="O7" i="15"/>
  <c r="D7" i="15"/>
  <c r="A7" i="15"/>
  <c r="O49" i="14"/>
  <c r="D49" i="14"/>
  <c r="A49" i="14"/>
  <c r="O48" i="14"/>
  <c r="D48" i="14"/>
  <c r="A48" i="14"/>
  <c r="O47" i="14"/>
  <c r="D47" i="14"/>
  <c r="A47" i="14"/>
  <c r="O46" i="14"/>
  <c r="D46" i="14"/>
  <c r="A46" i="14"/>
  <c r="O45" i="14"/>
  <c r="D45" i="14"/>
  <c r="A45" i="14"/>
  <c r="O44" i="14"/>
  <c r="D44" i="14"/>
  <c r="A44" i="14"/>
  <c r="O43" i="14"/>
  <c r="D43" i="14"/>
  <c r="A43" i="14"/>
  <c r="O42" i="14"/>
  <c r="D42" i="14"/>
  <c r="A42" i="14"/>
  <c r="O41" i="14"/>
  <c r="D41" i="14"/>
  <c r="A41" i="14"/>
  <c r="O40" i="14"/>
  <c r="D40" i="14"/>
  <c r="A40" i="14"/>
  <c r="O39" i="14"/>
  <c r="D39" i="14"/>
  <c r="A39" i="14"/>
  <c r="O38" i="14"/>
  <c r="D38" i="14"/>
  <c r="A38" i="14"/>
  <c r="O37" i="14"/>
  <c r="D37" i="14"/>
  <c r="A37" i="14"/>
  <c r="O35" i="14"/>
  <c r="D35" i="14"/>
  <c r="A35" i="14"/>
  <c r="O34" i="14"/>
  <c r="D34" i="14"/>
  <c r="A34" i="14"/>
  <c r="O33" i="14"/>
  <c r="D33" i="14"/>
  <c r="A33" i="14"/>
  <c r="O32" i="14"/>
  <c r="D32" i="14"/>
  <c r="A32" i="14"/>
  <c r="O31" i="14"/>
  <c r="D31" i="14"/>
  <c r="A31" i="14"/>
  <c r="O30" i="14"/>
  <c r="D30" i="14"/>
  <c r="A30" i="14"/>
  <c r="O29" i="14"/>
  <c r="D29" i="14"/>
  <c r="A29" i="14"/>
  <c r="O28" i="14"/>
  <c r="D28" i="14"/>
  <c r="A28" i="14"/>
  <c r="O26" i="14"/>
  <c r="D26" i="14"/>
  <c r="A26" i="14"/>
  <c r="O25" i="14"/>
  <c r="D25" i="14"/>
  <c r="A25" i="14"/>
  <c r="O24" i="14"/>
  <c r="D24" i="14"/>
  <c r="A24" i="14"/>
  <c r="O23" i="14"/>
  <c r="D23" i="14"/>
  <c r="A23" i="14"/>
  <c r="O22" i="14"/>
  <c r="D22" i="14"/>
  <c r="A22" i="14"/>
  <c r="O21" i="14"/>
  <c r="D21" i="14"/>
  <c r="A21" i="14"/>
  <c r="O19" i="14"/>
  <c r="D19" i="14"/>
  <c r="A19" i="14"/>
  <c r="O18" i="14"/>
  <c r="D18" i="14"/>
  <c r="A18" i="14"/>
  <c r="O17" i="14"/>
  <c r="D17" i="14"/>
  <c r="A17" i="14"/>
  <c r="O16" i="14"/>
  <c r="D16" i="14"/>
  <c r="A16" i="14"/>
  <c r="O15" i="14"/>
  <c r="D15" i="14"/>
  <c r="A15" i="14"/>
  <c r="O14" i="14"/>
  <c r="D14" i="14"/>
  <c r="A14" i="14"/>
  <c r="O13" i="14"/>
  <c r="D13" i="14"/>
  <c r="A13" i="14"/>
  <c r="O12" i="14"/>
  <c r="D12" i="14"/>
  <c r="A12" i="14"/>
  <c r="O11" i="14"/>
  <c r="D11" i="14"/>
  <c r="A11" i="14"/>
  <c r="O10" i="14"/>
  <c r="D10" i="14"/>
  <c r="A10" i="14"/>
  <c r="O9" i="14"/>
  <c r="D9" i="14"/>
  <c r="A9" i="14"/>
  <c r="O8" i="14"/>
  <c r="D8" i="14"/>
  <c r="A8" i="14"/>
  <c r="O7" i="14"/>
  <c r="D7" i="14"/>
  <c r="A7" i="14"/>
  <c r="O49" i="12"/>
  <c r="D49" i="12"/>
  <c r="A49" i="12"/>
  <c r="O48" i="12"/>
  <c r="D48" i="12"/>
  <c r="A48" i="12"/>
  <c r="O47" i="12"/>
  <c r="D47" i="12"/>
  <c r="A47" i="12"/>
  <c r="O46" i="12"/>
  <c r="D46" i="12"/>
  <c r="A46" i="12"/>
  <c r="O45" i="12"/>
  <c r="D45" i="12"/>
  <c r="A45" i="12"/>
  <c r="O44" i="12"/>
  <c r="D44" i="12"/>
  <c r="A44" i="12"/>
  <c r="O43" i="12"/>
  <c r="D43" i="12"/>
  <c r="A43" i="12"/>
  <c r="O42" i="12"/>
  <c r="D42" i="12"/>
  <c r="A42" i="12"/>
  <c r="O41" i="12"/>
  <c r="D41" i="12"/>
  <c r="A41" i="12"/>
  <c r="O40" i="12"/>
  <c r="D40" i="12"/>
  <c r="A40" i="12"/>
  <c r="O39" i="12"/>
  <c r="D39" i="12"/>
  <c r="A39" i="12"/>
  <c r="O38" i="12"/>
  <c r="D38" i="12"/>
  <c r="A38" i="12"/>
  <c r="O37" i="12"/>
  <c r="D37" i="12"/>
  <c r="A37" i="12"/>
  <c r="O35" i="12"/>
  <c r="D35" i="12"/>
  <c r="A35" i="12"/>
  <c r="O34" i="12"/>
  <c r="D34" i="12"/>
  <c r="A34" i="12"/>
  <c r="O33" i="12"/>
  <c r="D33" i="12"/>
  <c r="A33" i="12"/>
  <c r="O32" i="12"/>
  <c r="D32" i="12"/>
  <c r="A32" i="12"/>
  <c r="O31" i="12"/>
  <c r="A31" i="12"/>
  <c r="O30" i="12"/>
  <c r="D30" i="12"/>
  <c r="A30" i="12"/>
  <c r="O29" i="12"/>
  <c r="A29" i="12"/>
  <c r="O28" i="12"/>
  <c r="D28" i="12"/>
  <c r="A28" i="12"/>
  <c r="O26" i="12"/>
  <c r="D26" i="12"/>
  <c r="A26" i="12"/>
  <c r="O25" i="12"/>
  <c r="D25" i="12"/>
  <c r="A25" i="12"/>
  <c r="O24" i="12"/>
  <c r="D24" i="12"/>
  <c r="A24" i="12"/>
  <c r="O23" i="12"/>
  <c r="D23" i="12"/>
  <c r="A23" i="12"/>
  <c r="O22" i="12"/>
  <c r="D22" i="12"/>
  <c r="A22" i="12"/>
  <c r="O21" i="12"/>
  <c r="A21" i="12"/>
  <c r="O19" i="12"/>
  <c r="D19" i="12"/>
  <c r="A19" i="12"/>
  <c r="O18" i="12"/>
  <c r="D18" i="12"/>
  <c r="A18" i="12"/>
  <c r="O17" i="12"/>
  <c r="D17" i="12"/>
  <c r="A17" i="12"/>
  <c r="O16" i="12"/>
  <c r="D16" i="12"/>
  <c r="A16" i="12"/>
  <c r="O15" i="12"/>
  <c r="D15" i="12"/>
  <c r="A15" i="12"/>
  <c r="O14" i="12"/>
  <c r="D14" i="12"/>
  <c r="A14" i="12"/>
  <c r="O13" i="12"/>
  <c r="D13" i="12"/>
  <c r="A13" i="12"/>
  <c r="O12" i="12"/>
  <c r="D12" i="12"/>
  <c r="A12" i="12"/>
  <c r="O11" i="12"/>
  <c r="D11" i="12"/>
  <c r="A11" i="12"/>
  <c r="O10" i="12"/>
  <c r="D10" i="12"/>
  <c r="A10" i="12"/>
  <c r="O9" i="12"/>
  <c r="D9" i="12"/>
  <c r="A9" i="12"/>
  <c r="O8" i="12"/>
  <c r="D8" i="12"/>
  <c r="A8" i="12"/>
  <c r="O7" i="12"/>
  <c r="D7" i="12"/>
  <c r="A7" i="12"/>
  <c r="O49" i="11"/>
  <c r="D49" i="11"/>
  <c r="A49" i="11"/>
  <c r="O48" i="11"/>
  <c r="D48" i="11"/>
  <c r="A48" i="11"/>
  <c r="O47" i="11"/>
  <c r="D47" i="11"/>
  <c r="A47" i="11"/>
  <c r="O46" i="11"/>
  <c r="D46" i="11"/>
  <c r="A46" i="11"/>
  <c r="O45" i="11"/>
  <c r="D45" i="11"/>
  <c r="A45" i="11"/>
  <c r="O44" i="11"/>
  <c r="D44" i="11"/>
  <c r="A44" i="11"/>
  <c r="O43" i="11"/>
  <c r="D43" i="11"/>
  <c r="A43" i="11"/>
  <c r="O42" i="11"/>
  <c r="D42" i="11"/>
  <c r="A42" i="11"/>
  <c r="O41" i="11"/>
  <c r="D41" i="11"/>
  <c r="A41" i="11"/>
  <c r="O40" i="11"/>
  <c r="D40" i="11"/>
  <c r="A40" i="11"/>
  <c r="O39" i="11"/>
  <c r="D39" i="11"/>
  <c r="A39" i="11"/>
  <c r="O38" i="11"/>
  <c r="D38" i="11"/>
  <c r="A38" i="11"/>
  <c r="O37" i="11"/>
  <c r="D37" i="11"/>
  <c r="A37" i="11"/>
  <c r="O35" i="11"/>
  <c r="D35" i="11"/>
  <c r="A35" i="11"/>
  <c r="O34" i="11"/>
  <c r="D34" i="11"/>
  <c r="A34" i="11"/>
  <c r="O33" i="11"/>
  <c r="D33" i="11"/>
  <c r="A33" i="11"/>
  <c r="O32" i="11"/>
  <c r="D32" i="11"/>
  <c r="A32" i="11"/>
  <c r="O31" i="11"/>
  <c r="D31" i="11"/>
  <c r="A31" i="11"/>
  <c r="O30" i="11"/>
  <c r="D30" i="11"/>
  <c r="A30" i="11"/>
  <c r="O29" i="11"/>
  <c r="A29" i="11"/>
  <c r="O28" i="11"/>
  <c r="A28" i="11"/>
  <c r="O26" i="11"/>
  <c r="D26" i="11"/>
  <c r="A26" i="11"/>
  <c r="O25" i="11"/>
  <c r="D25" i="11"/>
  <c r="A25" i="11"/>
  <c r="O24" i="11"/>
  <c r="D24" i="11"/>
  <c r="A24" i="11"/>
  <c r="O23" i="11"/>
  <c r="D23" i="11"/>
  <c r="A23" i="11"/>
  <c r="O22" i="11"/>
  <c r="D22" i="11"/>
  <c r="A22" i="11"/>
  <c r="O21" i="11"/>
  <c r="A21" i="11"/>
  <c r="O19" i="11"/>
  <c r="D19" i="11"/>
  <c r="A19" i="11"/>
  <c r="O18" i="11"/>
  <c r="D18" i="11"/>
  <c r="A18" i="11"/>
  <c r="O17" i="11"/>
  <c r="D17" i="11"/>
  <c r="A17" i="11"/>
  <c r="O16" i="11"/>
  <c r="D16" i="11"/>
  <c r="A16" i="11"/>
  <c r="O15" i="11"/>
  <c r="D15" i="11"/>
  <c r="A15" i="11"/>
  <c r="O14" i="11"/>
  <c r="D14" i="11"/>
  <c r="A14" i="11"/>
  <c r="O13" i="11"/>
  <c r="D13" i="11"/>
  <c r="A13" i="11"/>
  <c r="O12" i="11"/>
  <c r="D12" i="11"/>
  <c r="A12" i="11"/>
  <c r="O11" i="11"/>
  <c r="D11" i="11"/>
  <c r="A11" i="11"/>
  <c r="O10" i="11"/>
  <c r="D10" i="11"/>
  <c r="A10" i="11"/>
  <c r="O9" i="11"/>
  <c r="D9" i="11"/>
  <c r="A9" i="11"/>
  <c r="O8" i="11"/>
  <c r="A8" i="11"/>
  <c r="O7" i="11"/>
  <c r="A7" i="11"/>
  <c r="O49" i="10"/>
  <c r="D49" i="10"/>
  <c r="A49" i="10"/>
  <c r="O48" i="10"/>
  <c r="D48" i="10"/>
  <c r="A48" i="10"/>
  <c r="O47" i="10"/>
  <c r="D47" i="10"/>
  <c r="A47" i="10"/>
  <c r="O46" i="10"/>
  <c r="D46" i="10"/>
  <c r="A46" i="10"/>
  <c r="O45" i="10"/>
  <c r="D45" i="10"/>
  <c r="A45" i="10"/>
  <c r="O44" i="10"/>
  <c r="D44" i="10"/>
  <c r="A44" i="10"/>
  <c r="O43" i="10"/>
  <c r="D43" i="10"/>
  <c r="A43" i="10"/>
  <c r="O42" i="10"/>
  <c r="D42" i="10"/>
  <c r="A42" i="10"/>
  <c r="O41" i="10"/>
  <c r="D41" i="10"/>
  <c r="A41" i="10"/>
  <c r="O40" i="10"/>
  <c r="D40" i="10"/>
  <c r="A40" i="10"/>
  <c r="O39" i="10"/>
  <c r="D39" i="10"/>
  <c r="A39" i="10"/>
  <c r="O38" i="10"/>
  <c r="D38" i="10"/>
  <c r="A38" i="10"/>
  <c r="O37" i="10"/>
  <c r="D37" i="10"/>
  <c r="A37" i="10"/>
  <c r="O35" i="10"/>
  <c r="D35" i="10"/>
  <c r="A35" i="10"/>
  <c r="O34" i="10"/>
  <c r="D34" i="10"/>
  <c r="A34" i="10"/>
  <c r="O33" i="10"/>
  <c r="D33" i="10"/>
  <c r="A33" i="10"/>
  <c r="O32" i="10"/>
  <c r="D32" i="10"/>
  <c r="A32" i="10"/>
  <c r="O31" i="10"/>
  <c r="D31" i="10"/>
  <c r="A31" i="10"/>
  <c r="O30" i="10"/>
  <c r="A30" i="10"/>
  <c r="O29" i="10"/>
  <c r="A29" i="10"/>
  <c r="O28" i="10"/>
  <c r="A28" i="10"/>
  <c r="O26" i="10"/>
  <c r="D26" i="10"/>
  <c r="A26" i="10"/>
  <c r="O25" i="10"/>
  <c r="D25" i="10"/>
  <c r="A25" i="10"/>
  <c r="O24" i="10"/>
  <c r="D24" i="10"/>
  <c r="A24" i="10"/>
  <c r="O23" i="10"/>
  <c r="D23" i="10"/>
  <c r="A23" i="10"/>
  <c r="O22" i="10"/>
  <c r="A22" i="10"/>
  <c r="O21" i="10"/>
  <c r="A21" i="10"/>
  <c r="O19" i="10"/>
  <c r="D19" i="10"/>
  <c r="A19" i="10"/>
  <c r="O18" i="10"/>
  <c r="D18" i="10"/>
  <c r="A18" i="10"/>
  <c r="O17" i="10"/>
  <c r="D17" i="10"/>
  <c r="A17" i="10"/>
  <c r="O16" i="10"/>
  <c r="D16" i="10"/>
  <c r="A16" i="10"/>
  <c r="O15" i="10"/>
  <c r="D15" i="10"/>
  <c r="A15" i="10"/>
  <c r="O14" i="10"/>
  <c r="D14" i="10"/>
  <c r="A14" i="10"/>
  <c r="O13" i="10"/>
  <c r="D13" i="10"/>
  <c r="A13" i="10"/>
  <c r="O12" i="10"/>
  <c r="D12" i="10"/>
  <c r="A12" i="10"/>
  <c r="O11" i="10"/>
  <c r="D11" i="10"/>
  <c r="A11" i="10"/>
  <c r="O10" i="10"/>
  <c r="D10" i="10"/>
  <c r="A10" i="10"/>
  <c r="O9" i="10"/>
  <c r="D9" i="10"/>
  <c r="A9" i="10"/>
  <c r="O8" i="10"/>
  <c r="A8" i="10"/>
  <c r="O7" i="10"/>
  <c r="A7" i="10"/>
  <c r="O49" i="9"/>
  <c r="D49" i="9"/>
  <c r="A49" i="9"/>
  <c r="O48" i="9"/>
  <c r="D48" i="9"/>
  <c r="A48" i="9"/>
  <c r="O47" i="9"/>
  <c r="D47" i="9"/>
  <c r="A47" i="9"/>
  <c r="O46" i="9"/>
  <c r="D46" i="9"/>
  <c r="A46" i="9"/>
  <c r="O45" i="9"/>
  <c r="D45" i="9"/>
  <c r="A45" i="9"/>
  <c r="O44" i="9"/>
  <c r="D44" i="9"/>
  <c r="A44" i="9"/>
  <c r="O43" i="9"/>
  <c r="D43" i="9"/>
  <c r="A43" i="9"/>
  <c r="O42" i="9"/>
  <c r="D42" i="9"/>
  <c r="A42" i="9"/>
  <c r="O41" i="9"/>
  <c r="D41" i="9"/>
  <c r="A41" i="9"/>
  <c r="O40" i="9"/>
  <c r="D40" i="9"/>
  <c r="A40" i="9"/>
  <c r="O39" i="9"/>
  <c r="D39" i="9"/>
  <c r="A39" i="9"/>
  <c r="O38" i="9"/>
  <c r="D38" i="9"/>
  <c r="A38" i="9"/>
  <c r="O37" i="9"/>
  <c r="D37" i="9"/>
  <c r="A37" i="9"/>
  <c r="O35" i="9"/>
  <c r="D35" i="9"/>
  <c r="A35" i="9"/>
  <c r="O34" i="9"/>
  <c r="D34" i="9"/>
  <c r="A34" i="9"/>
  <c r="O33" i="9"/>
  <c r="D33" i="9"/>
  <c r="A33" i="9"/>
  <c r="O32" i="9"/>
  <c r="D32" i="9"/>
  <c r="A32" i="9"/>
  <c r="O31" i="9"/>
  <c r="D31" i="9"/>
  <c r="A31" i="9"/>
  <c r="O30" i="9"/>
  <c r="A30" i="9"/>
  <c r="O29" i="9"/>
  <c r="A29" i="9"/>
  <c r="O28" i="9"/>
  <c r="A28" i="9"/>
  <c r="O26" i="9"/>
  <c r="D26" i="9"/>
  <c r="A26" i="9"/>
  <c r="O25" i="9"/>
  <c r="D25" i="9"/>
  <c r="A25" i="9"/>
  <c r="O24" i="9"/>
  <c r="D24" i="9"/>
  <c r="A24" i="9"/>
  <c r="O23" i="9"/>
  <c r="D23" i="9"/>
  <c r="A23" i="9"/>
  <c r="O22" i="9"/>
  <c r="A22" i="9"/>
  <c r="O21" i="9"/>
  <c r="A21" i="9"/>
  <c r="O19" i="9"/>
  <c r="D19" i="9"/>
  <c r="A19" i="9"/>
  <c r="O18" i="9"/>
  <c r="D18" i="9"/>
  <c r="A18" i="9"/>
  <c r="O17" i="9"/>
  <c r="D17" i="9"/>
  <c r="A17" i="9"/>
  <c r="O16" i="9"/>
  <c r="D16" i="9"/>
  <c r="A16" i="9"/>
  <c r="O15" i="9"/>
  <c r="D15" i="9"/>
  <c r="A15" i="9"/>
  <c r="O14" i="9"/>
  <c r="D14" i="9"/>
  <c r="A14" i="9"/>
  <c r="O13" i="9"/>
  <c r="D13" i="9"/>
  <c r="A13" i="9"/>
  <c r="O12" i="9"/>
  <c r="D12" i="9"/>
  <c r="A12" i="9"/>
  <c r="O11" i="9"/>
  <c r="D11" i="9"/>
  <c r="A11" i="9"/>
  <c r="O10" i="9"/>
  <c r="D10" i="9"/>
  <c r="A10" i="9"/>
  <c r="O9" i="9"/>
  <c r="D9" i="9"/>
  <c r="A9" i="9"/>
  <c r="O8" i="9"/>
  <c r="A8" i="9"/>
  <c r="O7" i="9"/>
  <c r="A7" i="9"/>
  <c r="O49" i="8"/>
  <c r="D49" i="8"/>
  <c r="A49" i="8"/>
  <c r="O48" i="8"/>
  <c r="D48" i="8"/>
  <c r="A48" i="8"/>
  <c r="O47" i="8"/>
  <c r="D47" i="8"/>
  <c r="A47" i="8"/>
  <c r="O46" i="8"/>
  <c r="D46" i="8"/>
  <c r="A46" i="8"/>
  <c r="O45" i="8"/>
  <c r="D45" i="8"/>
  <c r="A45" i="8"/>
  <c r="O44" i="8"/>
  <c r="D44" i="8"/>
  <c r="A44" i="8"/>
  <c r="O43" i="8"/>
  <c r="D43" i="8"/>
  <c r="A43" i="8"/>
  <c r="O42" i="8"/>
  <c r="D42" i="8"/>
  <c r="A42" i="8"/>
  <c r="O41" i="8"/>
  <c r="D41" i="8"/>
  <c r="A41" i="8"/>
  <c r="O40" i="8"/>
  <c r="D40" i="8"/>
  <c r="A40" i="8"/>
  <c r="O39" i="8"/>
  <c r="D39" i="8"/>
  <c r="A39" i="8"/>
  <c r="O38" i="8"/>
  <c r="D38" i="8"/>
  <c r="A38" i="8"/>
  <c r="O37" i="8"/>
  <c r="D37" i="8"/>
  <c r="A37" i="8"/>
  <c r="O35" i="8"/>
  <c r="D35" i="8"/>
  <c r="A35" i="8"/>
  <c r="O34" i="8"/>
  <c r="D34" i="8"/>
  <c r="A34" i="8"/>
  <c r="O33" i="8"/>
  <c r="D33" i="8"/>
  <c r="A33" i="8"/>
  <c r="O32" i="8"/>
  <c r="D32" i="8"/>
  <c r="A32" i="8"/>
  <c r="O31" i="8"/>
  <c r="D31" i="8"/>
  <c r="A31" i="8"/>
  <c r="O30" i="8"/>
  <c r="D30" i="8"/>
  <c r="A30" i="8"/>
  <c r="O29" i="8"/>
  <c r="A29" i="8"/>
  <c r="O28" i="8"/>
  <c r="A28" i="8"/>
  <c r="O26" i="8"/>
  <c r="D26" i="8"/>
  <c r="A26" i="8"/>
  <c r="O25" i="8"/>
  <c r="D25" i="8"/>
  <c r="A25" i="8"/>
  <c r="O24" i="8"/>
  <c r="D24" i="8"/>
  <c r="A24" i="8"/>
  <c r="O23" i="8"/>
  <c r="D23" i="8"/>
  <c r="A23" i="8"/>
  <c r="O22" i="8"/>
  <c r="D22" i="8"/>
  <c r="A22" i="8"/>
  <c r="O21" i="8"/>
  <c r="D21" i="8"/>
  <c r="A21" i="8"/>
  <c r="O19" i="8"/>
  <c r="D19" i="8"/>
  <c r="A19" i="8"/>
  <c r="O18" i="8"/>
  <c r="D18" i="8"/>
  <c r="A18" i="8"/>
  <c r="O17" i="8"/>
  <c r="D17" i="8"/>
  <c r="A17" i="8"/>
  <c r="O16" i="8"/>
  <c r="D16" i="8"/>
  <c r="A16" i="8"/>
  <c r="O15" i="8"/>
  <c r="D15" i="8"/>
  <c r="A15" i="8"/>
  <c r="O14" i="8"/>
  <c r="D14" i="8"/>
  <c r="A14" i="8"/>
  <c r="O13" i="8"/>
  <c r="D13" i="8"/>
  <c r="A13" i="8"/>
  <c r="O12" i="8"/>
  <c r="D12" i="8"/>
  <c r="A12" i="8"/>
  <c r="O11" i="8"/>
  <c r="D11" i="8"/>
  <c r="A11" i="8"/>
  <c r="O10" i="8"/>
  <c r="D10" i="8"/>
  <c r="A10" i="8"/>
  <c r="O9" i="8"/>
  <c r="D9" i="8"/>
  <c r="A9" i="8"/>
  <c r="O8" i="8"/>
  <c r="A8" i="8"/>
  <c r="O7" i="8"/>
  <c r="D7" i="8"/>
  <c r="A7" i="8"/>
  <c r="O49" i="7"/>
  <c r="D49" i="7"/>
  <c r="A49" i="7"/>
  <c r="O48" i="7"/>
  <c r="D48" i="7"/>
  <c r="A48" i="7"/>
  <c r="O47" i="7"/>
  <c r="D47" i="7"/>
  <c r="A47" i="7"/>
  <c r="O46" i="7"/>
  <c r="D46" i="7"/>
  <c r="A46" i="7"/>
  <c r="O45" i="7"/>
  <c r="D45" i="7"/>
  <c r="A45" i="7"/>
  <c r="O44" i="7"/>
  <c r="D44" i="7"/>
  <c r="A44" i="7"/>
  <c r="O43" i="7"/>
  <c r="D43" i="7"/>
  <c r="A43" i="7"/>
  <c r="O42" i="7"/>
  <c r="D42" i="7"/>
  <c r="A42" i="7"/>
  <c r="O41" i="7"/>
  <c r="D41" i="7"/>
  <c r="A41" i="7"/>
  <c r="O40" i="7"/>
  <c r="D40" i="7"/>
  <c r="A40" i="7"/>
  <c r="O39" i="7"/>
  <c r="D39" i="7"/>
  <c r="A39" i="7"/>
  <c r="O38" i="7"/>
  <c r="D38" i="7"/>
  <c r="A38" i="7"/>
  <c r="O37" i="7"/>
  <c r="D37" i="7"/>
  <c r="A37" i="7"/>
  <c r="O35" i="7"/>
  <c r="D35" i="7"/>
  <c r="A35" i="7"/>
  <c r="O34" i="7"/>
  <c r="D34" i="7"/>
  <c r="A34" i="7"/>
  <c r="O33" i="7"/>
  <c r="D33" i="7"/>
  <c r="A33" i="7"/>
  <c r="O32" i="7"/>
  <c r="D32" i="7"/>
  <c r="A32" i="7"/>
  <c r="O31" i="7"/>
  <c r="D31" i="7"/>
  <c r="A31" i="7"/>
  <c r="O30" i="7"/>
  <c r="A30" i="7"/>
  <c r="O29" i="7"/>
  <c r="A29" i="7"/>
  <c r="O28" i="7"/>
  <c r="A28" i="7"/>
  <c r="O26" i="7"/>
  <c r="D26" i="7"/>
  <c r="A26" i="7"/>
  <c r="O25" i="7"/>
  <c r="D25" i="7"/>
  <c r="A25" i="7"/>
  <c r="O24" i="7"/>
  <c r="D24" i="7"/>
  <c r="A24" i="7"/>
  <c r="O23" i="7"/>
  <c r="D23" i="7"/>
  <c r="A23" i="7"/>
  <c r="O22" i="7"/>
  <c r="A22" i="7"/>
  <c r="O21" i="7"/>
  <c r="A21" i="7"/>
  <c r="O19" i="7"/>
  <c r="D19" i="7"/>
  <c r="A19" i="7"/>
  <c r="O18" i="7"/>
  <c r="D18" i="7"/>
  <c r="A18" i="7"/>
  <c r="O17" i="7"/>
  <c r="D17" i="7"/>
  <c r="A17" i="7"/>
  <c r="O16" i="7"/>
  <c r="D16" i="7"/>
  <c r="A16" i="7"/>
  <c r="O15" i="7"/>
  <c r="D15" i="7"/>
  <c r="A15" i="7"/>
  <c r="O14" i="7"/>
  <c r="D14" i="7"/>
  <c r="A14" i="7"/>
  <c r="O13" i="7"/>
  <c r="D13" i="7"/>
  <c r="A13" i="7"/>
  <c r="O12" i="7"/>
  <c r="D12" i="7"/>
  <c r="A12" i="7"/>
  <c r="O11" i="7"/>
  <c r="D11" i="7"/>
  <c r="A11" i="7"/>
  <c r="O10" i="7"/>
  <c r="D10" i="7"/>
  <c r="A10" i="7"/>
  <c r="O9" i="7"/>
  <c r="D9" i="7"/>
  <c r="A9" i="7"/>
  <c r="O8" i="7"/>
  <c r="A8" i="7"/>
  <c r="O7" i="7"/>
  <c r="D7" i="7"/>
  <c r="A7" i="7"/>
  <c r="O49" i="6"/>
  <c r="D49" i="6"/>
  <c r="A49" i="6"/>
  <c r="O48" i="6"/>
  <c r="D48" i="6"/>
  <c r="A48" i="6"/>
  <c r="O47" i="6"/>
  <c r="D47" i="6"/>
  <c r="A47" i="6"/>
  <c r="O46" i="6"/>
  <c r="D46" i="6"/>
  <c r="A46" i="6"/>
  <c r="O45" i="6"/>
  <c r="D45" i="6"/>
  <c r="A45" i="6"/>
  <c r="O44" i="6"/>
  <c r="D44" i="6"/>
  <c r="A44" i="6"/>
  <c r="O43" i="6"/>
  <c r="D43" i="6"/>
  <c r="A43" i="6"/>
  <c r="O42" i="6"/>
  <c r="D42" i="6"/>
  <c r="A42" i="6"/>
  <c r="O41" i="6"/>
  <c r="D41" i="6"/>
  <c r="A41" i="6"/>
  <c r="O40" i="6"/>
  <c r="D40" i="6"/>
  <c r="A40" i="6"/>
  <c r="O39" i="6"/>
  <c r="D39" i="6"/>
  <c r="A39" i="6"/>
  <c r="O38" i="6"/>
  <c r="D38" i="6"/>
  <c r="A38" i="6"/>
  <c r="O37" i="6"/>
  <c r="D37" i="6"/>
  <c r="A37" i="6"/>
  <c r="O35" i="6"/>
  <c r="D35" i="6"/>
  <c r="A35" i="6"/>
  <c r="O34" i="6"/>
  <c r="D34" i="6"/>
  <c r="A34" i="6"/>
  <c r="O33" i="6"/>
  <c r="D33" i="6"/>
  <c r="A33" i="6"/>
  <c r="O32" i="6"/>
  <c r="D32" i="6"/>
  <c r="A32" i="6"/>
  <c r="O31" i="6"/>
  <c r="A31" i="6"/>
  <c r="O30" i="6"/>
  <c r="A30" i="6"/>
  <c r="O29" i="6"/>
  <c r="A29" i="6"/>
  <c r="O28" i="6"/>
  <c r="D28" i="6"/>
  <c r="A28" i="6"/>
  <c r="O26" i="6"/>
  <c r="D26" i="6"/>
  <c r="A26" i="6"/>
  <c r="O25" i="6"/>
  <c r="D25" i="6"/>
  <c r="A25" i="6"/>
  <c r="O24" i="6"/>
  <c r="D24" i="6"/>
  <c r="A24" i="6"/>
  <c r="O23" i="6"/>
  <c r="D23" i="6"/>
  <c r="A23" i="6"/>
  <c r="O22" i="6"/>
  <c r="D22" i="6"/>
  <c r="A22" i="6"/>
  <c r="O21" i="6"/>
  <c r="A21" i="6"/>
  <c r="O19" i="6"/>
  <c r="D19" i="6"/>
  <c r="A19" i="6"/>
  <c r="O18" i="6"/>
  <c r="D18" i="6"/>
  <c r="A18" i="6"/>
  <c r="O17" i="6"/>
  <c r="D17" i="6"/>
  <c r="A17" i="6"/>
  <c r="O16" i="6"/>
  <c r="D16" i="6"/>
  <c r="A16" i="6"/>
  <c r="O15" i="6"/>
  <c r="D15" i="6"/>
  <c r="A15" i="6"/>
  <c r="O14" i="6"/>
  <c r="D14" i="6"/>
  <c r="A14" i="6"/>
  <c r="O13" i="6"/>
  <c r="D13" i="6"/>
  <c r="A13" i="6"/>
  <c r="O12" i="6"/>
  <c r="D12" i="6"/>
  <c r="A12" i="6"/>
  <c r="O11" i="6"/>
  <c r="D11" i="6"/>
  <c r="A11" i="6"/>
  <c r="O10" i="6"/>
  <c r="D10" i="6"/>
  <c r="A10" i="6"/>
  <c r="O9" i="6"/>
  <c r="D9" i="6"/>
  <c r="A9" i="6"/>
  <c r="O8" i="6"/>
  <c r="D8" i="6"/>
  <c r="A8" i="6"/>
  <c r="O7" i="6"/>
  <c r="A7" i="6"/>
  <c r="O49" i="5"/>
  <c r="D49" i="5"/>
  <c r="A49" i="5"/>
  <c r="O48" i="5"/>
  <c r="D48" i="5"/>
  <c r="A48" i="5"/>
  <c r="O47" i="5"/>
  <c r="D47" i="5"/>
  <c r="A47" i="5"/>
  <c r="O46" i="5"/>
  <c r="D46" i="5"/>
  <c r="A46" i="5"/>
  <c r="O45" i="5"/>
  <c r="D45" i="5"/>
  <c r="A45" i="5"/>
  <c r="O44" i="5"/>
  <c r="D44" i="5"/>
  <c r="A44" i="5"/>
  <c r="O43" i="5"/>
  <c r="D43" i="5"/>
  <c r="A43" i="5"/>
  <c r="O42" i="5"/>
  <c r="D42" i="5"/>
  <c r="A42" i="5"/>
  <c r="O41" i="5"/>
  <c r="D41" i="5"/>
  <c r="A41" i="5"/>
  <c r="O40" i="5"/>
  <c r="D40" i="5"/>
  <c r="A40" i="5"/>
  <c r="O39" i="5"/>
  <c r="D39" i="5"/>
  <c r="A39" i="5"/>
  <c r="O38" i="5"/>
  <c r="D38" i="5"/>
  <c r="A38" i="5"/>
  <c r="O37" i="5"/>
  <c r="D37" i="5"/>
  <c r="A37" i="5"/>
  <c r="O35" i="5"/>
  <c r="D35" i="5"/>
  <c r="A35" i="5"/>
  <c r="O34" i="5"/>
  <c r="D34" i="5"/>
  <c r="A34" i="5"/>
  <c r="O33" i="5"/>
  <c r="D33" i="5"/>
  <c r="A33" i="5"/>
  <c r="O32" i="5"/>
  <c r="D32" i="5"/>
  <c r="A32" i="5"/>
  <c r="O31" i="5"/>
  <c r="D31" i="5"/>
  <c r="A31" i="5"/>
  <c r="O30" i="5"/>
  <c r="D30" i="5"/>
  <c r="A30" i="5"/>
  <c r="O29" i="5"/>
  <c r="D29" i="5"/>
  <c r="A29" i="5"/>
  <c r="O28" i="5"/>
  <c r="D28" i="5"/>
  <c r="A28" i="5"/>
  <c r="O26" i="5"/>
  <c r="D26" i="5"/>
  <c r="A26" i="5"/>
  <c r="O25" i="5"/>
  <c r="D25" i="5"/>
  <c r="A25" i="5"/>
  <c r="O24" i="5"/>
  <c r="D24" i="5"/>
  <c r="A24" i="5"/>
  <c r="O23" i="5"/>
  <c r="D23" i="5"/>
  <c r="A23" i="5"/>
  <c r="O22" i="5"/>
  <c r="D22" i="5"/>
  <c r="A22" i="5"/>
  <c r="O21" i="5"/>
  <c r="D21" i="5"/>
  <c r="A21" i="5"/>
  <c r="O19" i="5"/>
  <c r="D19" i="5"/>
  <c r="A19" i="5"/>
  <c r="O18" i="5"/>
  <c r="D18" i="5"/>
  <c r="A18" i="5"/>
  <c r="O17" i="5"/>
  <c r="D17" i="5"/>
  <c r="A17" i="5"/>
  <c r="O16" i="5"/>
  <c r="D16" i="5"/>
  <c r="A16" i="5"/>
  <c r="O15" i="5"/>
  <c r="D15" i="5"/>
  <c r="A15" i="5"/>
  <c r="O14" i="5"/>
  <c r="D14" i="5"/>
  <c r="A14" i="5"/>
  <c r="O13" i="5"/>
  <c r="D13" i="5"/>
  <c r="A13" i="5"/>
  <c r="O12" i="5"/>
  <c r="D12" i="5"/>
  <c r="A12" i="5"/>
  <c r="O11" i="5"/>
  <c r="D11" i="5"/>
  <c r="A11" i="5"/>
  <c r="O10" i="5"/>
  <c r="D10" i="5"/>
  <c r="A10" i="5"/>
  <c r="O9" i="5"/>
  <c r="D9" i="5"/>
  <c r="A9" i="5"/>
  <c r="O8" i="5"/>
  <c r="D8" i="5"/>
  <c r="A8" i="5"/>
  <c r="O7" i="5"/>
  <c r="D7" i="5"/>
  <c r="A7" i="5"/>
  <c r="O49" i="4"/>
  <c r="D49" i="4"/>
  <c r="A49" i="4"/>
  <c r="O48" i="4"/>
  <c r="D48" i="4"/>
  <c r="A48" i="4"/>
  <c r="O47" i="4"/>
  <c r="D47" i="4"/>
  <c r="A47" i="4"/>
  <c r="O46" i="4"/>
  <c r="D46" i="4"/>
  <c r="A46" i="4"/>
  <c r="O45" i="4"/>
  <c r="D45" i="4"/>
  <c r="A45" i="4"/>
  <c r="O44" i="4"/>
  <c r="D44" i="4"/>
  <c r="A44" i="4"/>
  <c r="O43" i="4"/>
  <c r="D43" i="4"/>
  <c r="A43" i="4"/>
  <c r="O42" i="4"/>
  <c r="D42" i="4"/>
  <c r="A42" i="4"/>
  <c r="O41" i="4"/>
  <c r="D41" i="4"/>
  <c r="A41" i="4"/>
  <c r="O40" i="4"/>
  <c r="D40" i="4"/>
  <c r="A40" i="4"/>
  <c r="O39" i="4"/>
  <c r="D39" i="4"/>
  <c r="A39" i="4"/>
  <c r="O38" i="4"/>
  <c r="D38" i="4"/>
  <c r="A38" i="4"/>
  <c r="O37" i="4"/>
  <c r="D37" i="4"/>
  <c r="A37" i="4"/>
  <c r="O35" i="4"/>
  <c r="D35" i="4"/>
  <c r="A35" i="4"/>
  <c r="O34" i="4"/>
  <c r="D34" i="4"/>
  <c r="A34" i="4"/>
  <c r="O33" i="4"/>
  <c r="D33" i="4"/>
  <c r="A33" i="4"/>
  <c r="O32" i="4"/>
  <c r="D32" i="4"/>
  <c r="A32" i="4"/>
  <c r="O31" i="4"/>
  <c r="D31" i="4"/>
  <c r="A31" i="4"/>
  <c r="O30" i="4"/>
  <c r="A30" i="4"/>
  <c r="O29" i="4"/>
  <c r="D29" i="4"/>
  <c r="A29" i="4"/>
  <c r="O28" i="4"/>
  <c r="D28" i="4"/>
  <c r="A28" i="4"/>
  <c r="O26" i="4"/>
  <c r="D26" i="4"/>
  <c r="A26" i="4"/>
  <c r="O25" i="4"/>
  <c r="D25" i="4"/>
  <c r="A25" i="4"/>
  <c r="O24" i="4"/>
  <c r="D24" i="4"/>
  <c r="A24" i="4"/>
  <c r="O23" i="4"/>
  <c r="D23" i="4"/>
  <c r="A23" i="4"/>
  <c r="O22" i="4"/>
  <c r="D22" i="4"/>
  <c r="A22" i="4"/>
  <c r="O21" i="4"/>
  <c r="A21" i="4"/>
  <c r="O19" i="4"/>
  <c r="D19" i="4"/>
  <c r="A19" i="4"/>
  <c r="O18" i="4"/>
  <c r="D18" i="4"/>
  <c r="A18" i="4"/>
  <c r="O17" i="4"/>
  <c r="D17" i="4"/>
  <c r="A17" i="4"/>
  <c r="O16" i="4"/>
  <c r="D16" i="4"/>
  <c r="A16" i="4"/>
  <c r="O15" i="4"/>
  <c r="D15" i="4"/>
  <c r="A15" i="4"/>
  <c r="O14" i="4"/>
  <c r="D14" i="4"/>
  <c r="A14" i="4"/>
  <c r="O13" i="4"/>
  <c r="D13" i="4"/>
  <c r="A13" i="4"/>
  <c r="O12" i="4"/>
  <c r="D12" i="4"/>
  <c r="A12" i="4"/>
  <c r="O11" i="4"/>
  <c r="D11" i="4"/>
  <c r="A11" i="4"/>
  <c r="O10" i="4"/>
  <c r="D10" i="4"/>
  <c r="A10" i="4"/>
  <c r="O9" i="4"/>
  <c r="D9" i="4"/>
  <c r="A9" i="4"/>
  <c r="O8" i="4"/>
  <c r="D8" i="4"/>
  <c r="A8" i="4"/>
  <c r="O7" i="4"/>
  <c r="D7" i="4"/>
  <c r="A7" i="4"/>
  <c r="II34" i="2"/>
  <c r="IH34" i="2"/>
  <c r="IG34" i="2"/>
  <c r="IF34" i="2"/>
  <c r="IE34" i="2"/>
  <c r="ID34" i="2"/>
  <c r="IC34" i="2"/>
  <c r="IB34" i="2"/>
  <c r="IA34" i="2"/>
  <c r="HZ34" i="2"/>
  <c r="HY34" i="2"/>
  <c r="HX34" i="2"/>
  <c r="HW34" i="2"/>
  <c r="HV34" i="2"/>
  <c r="HU34" i="2"/>
  <c r="HT34" i="2"/>
  <c r="HS34" i="2"/>
  <c r="HR34" i="2"/>
  <c r="HQ34" i="2"/>
  <c r="HP34" i="2"/>
  <c r="HO34" i="2"/>
  <c r="HN34" i="2"/>
  <c r="HM34" i="2"/>
  <c r="HL34" i="2"/>
  <c r="HK34" i="2"/>
  <c r="HJ34" i="2"/>
  <c r="HI34" i="2"/>
  <c r="HH34" i="2"/>
  <c r="HG34" i="2"/>
  <c r="HF34" i="2"/>
  <c r="HE34" i="2"/>
  <c r="HD34" i="2"/>
  <c r="HC34" i="2"/>
  <c r="HB34" i="2"/>
  <c r="HA34" i="2"/>
  <c r="GZ34" i="2"/>
  <c r="GY34" i="2"/>
  <c r="GX34" i="2"/>
  <c r="GW34" i="2"/>
  <c r="GV34" i="2"/>
  <c r="GU34" i="2"/>
  <c r="GT34" i="2"/>
  <c r="GS34" i="2"/>
  <c r="GR34" i="2"/>
  <c r="GQ34" i="2"/>
  <c r="GP34" i="2"/>
  <c r="GO34" i="2"/>
  <c r="GN34" i="2"/>
  <c r="GM34" i="2"/>
  <c r="GL34" i="2"/>
  <c r="GK34" i="2"/>
  <c r="GJ34" i="2"/>
  <c r="GI34" i="2"/>
  <c r="GH34" i="2"/>
  <c r="GG34" i="2"/>
  <c r="GF34" i="2"/>
  <c r="GE34" i="2"/>
  <c r="GD34" i="2"/>
  <c r="GC34" i="2"/>
  <c r="GB34" i="2"/>
  <c r="GA34" i="2"/>
  <c r="FZ34" i="2"/>
  <c r="FY34" i="2"/>
  <c r="FX34" i="2"/>
  <c r="FW34" i="2"/>
  <c r="FV34" i="2"/>
  <c r="FU34" i="2"/>
  <c r="FT34" i="2"/>
  <c r="FS34" i="2"/>
  <c r="FR34" i="2"/>
  <c r="FQ34" i="2"/>
  <c r="FP34" i="2"/>
  <c r="FO34" i="2"/>
  <c r="FN34" i="2"/>
  <c r="FM34" i="2"/>
  <c r="FL34" i="2"/>
  <c r="FK34" i="2"/>
  <c r="FJ34" i="2"/>
  <c r="FI34" i="2"/>
  <c r="FH34" i="2"/>
  <c r="FG34" i="2"/>
  <c r="FF34" i="2"/>
  <c r="FE34" i="2"/>
  <c r="FD34" i="2"/>
  <c r="FC34" i="2"/>
  <c r="FB34" i="2"/>
  <c r="FA34" i="2"/>
  <c r="EZ34" i="2"/>
  <c r="EY34" i="2"/>
  <c r="EX34" i="2"/>
  <c r="EW34" i="2"/>
  <c r="EV34" i="2"/>
  <c r="EU34" i="2"/>
  <c r="ET34" i="2"/>
  <c r="ES34" i="2"/>
  <c r="ER34" i="2"/>
  <c r="EQ34" i="2"/>
  <c r="EP34" i="2"/>
  <c r="EO34" i="2"/>
  <c r="EN34" i="2"/>
  <c r="EM34" i="2"/>
  <c r="EL34" i="2"/>
  <c r="EK34" i="2"/>
  <c r="EJ34" i="2"/>
  <c r="EI34" i="2"/>
  <c r="EH34" i="2"/>
  <c r="EG34" i="2"/>
  <c r="EF34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H34" i="2"/>
  <c r="DG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B34" i="2"/>
  <c r="II33" i="2"/>
  <c r="IH33" i="2"/>
  <c r="IG33" i="2"/>
  <c r="IF33" i="2"/>
  <c r="IE33" i="2"/>
  <c r="ID33" i="2"/>
  <c r="IC33" i="2"/>
  <c r="IB33" i="2"/>
  <c r="IA33" i="2"/>
  <c r="HZ33" i="2"/>
  <c r="HY33" i="2"/>
  <c r="HX33" i="2"/>
  <c r="HW33" i="2"/>
  <c r="HV33" i="2"/>
  <c r="HU33" i="2"/>
  <c r="HT33" i="2"/>
  <c r="HS33" i="2"/>
  <c r="HR33" i="2"/>
  <c r="HQ33" i="2"/>
  <c r="HP33" i="2"/>
  <c r="HO33" i="2"/>
  <c r="HN33" i="2"/>
  <c r="HM33" i="2"/>
  <c r="HL33" i="2"/>
  <c r="HK33" i="2"/>
  <c r="HJ33" i="2"/>
  <c r="HI33" i="2"/>
  <c r="HH33" i="2"/>
  <c r="HG33" i="2"/>
  <c r="HF33" i="2"/>
  <c r="HE33" i="2"/>
  <c r="HD33" i="2"/>
  <c r="HC33" i="2"/>
  <c r="HB33" i="2"/>
  <c r="HA33" i="2"/>
  <c r="GZ33" i="2"/>
  <c r="GY33" i="2"/>
  <c r="GX33" i="2"/>
  <c r="GW33" i="2"/>
  <c r="GV33" i="2"/>
  <c r="GU33" i="2"/>
  <c r="GT33" i="2"/>
  <c r="GS33" i="2"/>
  <c r="GR33" i="2"/>
  <c r="GQ33" i="2"/>
  <c r="GP33" i="2"/>
  <c r="GO33" i="2"/>
  <c r="GN33" i="2"/>
  <c r="GM33" i="2"/>
  <c r="GL33" i="2"/>
  <c r="GK33" i="2"/>
  <c r="GJ33" i="2"/>
  <c r="GI33" i="2"/>
  <c r="GH33" i="2"/>
  <c r="GG33" i="2"/>
  <c r="GF33" i="2"/>
  <c r="GE33" i="2"/>
  <c r="GD33" i="2"/>
  <c r="GC33" i="2"/>
  <c r="GB33" i="2"/>
  <c r="GA33" i="2"/>
  <c r="FZ33" i="2"/>
  <c r="FY33" i="2"/>
  <c r="FX33" i="2"/>
  <c r="FW33" i="2"/>
  <c r="FV33" i="2"/>
  <c r="FU33" i="2"/>
  <c r="FT33" i="2"/>
  <c r="FS33" i="2"/>
  <c r="FR33" i="2"/>
  <c r="FQ33" i="2"/>
  <c r="FP33" i="2"/>
  <c r="FO33" i="2"/>
  <c r="FN33" i="2"/>
  <c r="FM33" i="2"/>
  <c r="FL33" i="2"/>
  <c r="FK33" i="2"/>
  <c r="FJ33" i="2"/>
  <c r="FI33" i="2"/>
  <c r="FH33" i="2"/>
  <c r="FG33" i="2"/>
  <c r="FF33" i="2"/>
  <c r="FE33" i="2"/>
  <c r="FD33" i="2"/>
  <c r="FC33" i="2"/>
  <c r="FB33" i="2"/>
  <c r="FA33" i="2"/>
  <c r="EZ33" i="2"/>
  <c r="EY33" i="2"/>
  <c r="EX33" i="2"/>
  <c r="EW33" i="2"/>
  <c r="EV33" i="2"/>
  <c r="EU33" i="2"/>
  <c r="ET33" i="2"/>
  <c r="ES33" i="2"/>
  <c r="ER33" i="2"/>
  <c r="EQ33" i="2"/>
  <c r="EP33" i="2"/>
  <c r="EO33" i="2"/>
  <c r="EN33" i="2"/>
  <c r="EM33" i="2"/>
  <c r="EL33" i="2"/>
  <c r="EK33" i="2"/>
  <c r="EJ33" i="2"/>
  <c r="EI33" i="2"/>
  <c r="EH33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B33" i="2"/>
  <c r="II32" i="2"/>
  <c r="IH32" i="2"/>
  <c r="IG32" i="2"/>
  <c r="IF32" i="2"/>
  <c r="IE32" i="2"/>
  <c r="ID32" i="2"/>
  <c r="IC32" i="2"/>
  <c r="IB32" i="2"/>
  <c r="IA32" i="2"/>
  <c r="HZ32" i="2"/>
  <c r="HY32" i="2"/>
  <c r="HX32" i="2"/>
  <c r="HW32" i="2"/>
  <c r="HV32" i="2"/>
  <c r="HU32" i="2"/>
  <c r="HT32" i="2"/>
  <c r="HS32" i="2"/>
  <c r="HR32" i="2"/>
  <c r="HQ32" i="2"/>
  <c r="HP32" i="2"/>
  <c r="HO32" i="2"/>
  <c r="HN32" i="2"/>
  <c r="HM32" i="2"/>
  <c r="HL32" i="2"/>
  <c r="HK32" i="2"/>
  <c r="HJ32" i="2"/>
  <c r="HI32" i="2"/>
  <c r="HH32" i="2"/>
  <c r="HG32" i="2"/>
  <c r="HF32" i="2"/>
  <c r="HE32" i="2"/>
  <c r="HD32" i="2"/>
  <c r="HC32" i="2"/>
  <c r="HB32" i="2"/>
  <c r="HA32" i="2"/>
  <c r="GZ32" i="2"/>
  <c r="GY32" i="2"/>
  <c r="GX32" i="2"/>
  <c r="GW32" i="2"/>
  <c r="GV32" i="2"/>
  <c r="GU32" i="2"/>
  <c r="GT32" i="2"/>
  <c r="GS32" i="2"/>
  <c r="GR32" i="2"/>
  <c r="GQ32" i="2"/>
  <c r="GP32" i="2"/>
  <c r="GO32" i="2"/>
  <c r="GN32" i="2"/>
  <c r="GM32" i="2"/>
  <c r="GL32" i="2"/>
  <c r="GK32" i="2"/>
  <c r="GJ32" i="2"/>
  <c r="GI32" i="2"/>
  <c r="GH32" i="2"/>
  <c r="GG32" i="2"/>
  <c r="GF32" i="2"/>
  <c r="GE32" i="2"/>
  <c r="GD32" i="2"/>
  <c r="GC32" i="2"/>
  <c r="GB32" i="2"/>
  <c r="GA32" i="2"/>
  <c r="FZ32" i="2"/>
  <c r="FY32" i="2"/>
  <c r="FX32" i="2"/>
  <c r="FW32" i="2"/>
  <c r="FV32" i="2"/>
  <c r="FU32" i="2"/>
  <c r="FT32" i="2"/>
  <c r="FS32" i="2"/>
  <c r="FR32" i="2"/>
  <c r="FQ32" i="2"/>
  <c r="FP32" i="2"/>
  <c r="FO32" i="2"/>
  <c r="FN32" i="2"/>
  <c r="FM32" i="2"/>
  <c r="FL32" i="2"/>
  <c r="FK32" i="2"/>
  <c r="FJ32" i="2"/>
  <c r="FI32" i="2"/>
  <c r="FH32" i="2"/>
  <c r="FG32" i="2"/>
  <c r="FF32" i="2"/>
  <c r="FE32" i="2"/>
  <c r="FD32" i="2"/>
  <c r="FC32" i="2"/>
  <c r="FB32" i="2"/>
  <c r="FA32" i="2"/>
  <c r="EZ32" i="2"/>
  <c r="EY32" i="2"/>
  <c r="EX32" i="2"/>
  <c r="EW32" i="2"/>
  <c r="EV32" i="2"/>
  <c r="EU32" i="2"/>
  <c r="ET32" i="2"/>
  <c r="ES32" i="2"/>
  <c r="ER32" i="2"/>
  <c r="EQ32" i="2"/>
  <c r="EP32" i="2"/>
  <c r="EO32" i="2"/>
  <c r="EN32" i="2"/>
  <c r="EM32" i="2"/>
  <c r="EL32" i="2"/>
  <c r="EK32" i="2"/>
  <c r="EJ32" i="2"/>
  <c r="EI32" i="2"/>
  <c r="EH32" i="2"/>
  <c r="EG32" i="2"/>
  <c r="EF32" i="2"/>
  <c r="EE32" i="2"/>
  <c r="ED32" i="2"/>
  <c r="EC32" i="2"/>
  <c r="EB32" i="2"/>
  <c r="EA32" i="2"/>
  <c r="DZ32" i="2"/>
  <c r="DY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B32" i="2"/>
  <c r="II31" i="2"/>
  <c r="IH31" i="2"/>
  <c r="IG31" i="2"/>
  <c r="IF31" i="2"/>
  <c r="IE31" i="2"/>
  <c r="ID31" i="2"/>
  <c r="IC31" i="2"/>
  <c r="IB31" i="2"/>
  <c r="IA31" i="2"/>
  <c r="HZ31" i="2"/>
  <c r="HY31" i="2"/>
  <c r="HX31" i="2"/>
  <c r="HW31" i="2"/>
  <c r="HV31" i="2"/>
  <c r="HU31" i="2"/>
  <c r="HT31" i="2"/>
  <c r="HS31" i="2"/>
  <c r="HR31" i="2"/>
  <c r="HQ31" i="2"/>
  <c r="HP31" i="2"/>
  <c r="HO31" i="2"/>
  <c r="HN31" i="2"/>
  <c r="HM31" i="2"/>
  <c r="HL31" i="2"/>
  <c r="HK31" i="2"/>
  <c r="HJ31" i="2"/>
  <c r="HI31" i="2"/>
  <c r="HH31" i="2"/>
  <c r="HG31" i="2"/>
  <c r="HF31" i="2"/>
  <c r="HE31" i="2"/>
  <c r="HD31" i="2"/>
  <c r="HC31" i="2"/>
  <c r="HB31" i="2"/>
  <c r="HA31" i="2"/>
  <c r="GZ31" i="2"/>
  <c r="GY31" i="2"/>
  <c r="GX31" i="2"/>
  <c r="GW31" i="2"/>
  <c r="GV31" i="2"/>
  <c r="GU31" i="2"/>
  <c r="GT31" i="2"/>
  <c r="GS31" i="2"/>
  <c r="GR31" i="2"/>
  <c r="GQ31" i="2"/>
  <c r="GP31" i="2"/>
  <c r="GO31" i="2"/>
  <c r="GN31" i="2"/>
  <c r="GM31" i="2"/>
  <c r="GL31" i="2"/>
  <c r="GK31" i="2"/>
  <c r="GJ31" i="2"/>
  <c r="GI31" i="2"/>
  <c r="GH31" i="2"/>
  <c r="GG31" i="2"/>
  <c r="GF31" i="2"/>
  <c r="GE31" i="2"/>
  <c r="GD31" i="2"/>
  <c r="GC31" i="2"/>
  <c r="GB31" i="2"/>
  <c r="GA31" i="2"/>
  <c r="FZ31" i="2"/>
  <c r="FY31" i="2"/>
  <c r="FX31" i="2"/>
  <c r="FW31" i="2"/>
  <c r="FV31" i="2"/>
  <c r="FU31" i="2"/>
  <c r="FT31" i="2"/>
  <c r="FS31" i="2"/>
  <c r="FR31" i="2"/>
  <c r="FQ31" i="2"/>
  <c r="FP31" i="2"/>
  <c r="FO31" i="2"/>
  <c r="FN31" i="2"/>
  <c r="FM31" i="2"/>
  <c r="FL31" i="2"/>
  <c r="FK31" i="2"/>
  <c r="FJ31" i="2"/>
  <c r="FI31" i="2"/>
  <c r="FH31" i="2"/>
  <c r="FG31" i="2"/>
  <c r="FF31" i="2"/>
  <c r="FE31" i="2"/>
  <c r="FD31" i="2"/>
  <c r="FC31" i="2"/>
  <c r="FB31" i="2"/>
  <c r="FA31" i="2"/>
  <c r="EZ31" i="2"/>
  <c r="EY31" i="2"/>
  <c r="EX31" i="2"/>
  <c r="EW31" i="2"/>
  <c r="EV31" i="2"/>
  <c r="EU31" i="2"/>
  <c r="ET31" i="2"/>
  <c r="ES31" i="2"/>
  <c r="ER31" i="2"/>
  <c r="EQ31" i="2"/>
  <c r="EP31" i="2"/>
  <c r="EO31" i="2"/>
  <c r="EN31" i="2"/>
  <c r="EM31" i="2"/>
  <c r="EL31" i="2"/>
  <c r="EK31" i="2"/>
  <c r="EJ31" i="2"/>
  <c r="EI31" i="2"/>
  <c r="EH31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B31" i="2"/>
  <c r="II30" i="2"/>
  <c r="IH30" i="2"/>
  <c r="IG30" i="2"/>
  <c r="IF30" i="2"/>
  <c r="IE30" i="2"/>
  <c r="ID30" i="2"/>
  <c r="IC30" i="2"/>
  <c r="IB30" i="2"/>
  <c r="IA30" i="2"/>
  <c r="HZ30" i="2"/>
  <c r="HY30" i="2"/>
  <c r="HX30" i="2"/>
  <c r="HW30" i="2"/>
  <c r="HV30" i="2"/>
  <c r="HU30" i="2"/>
  <c r="HT30" i="2"/>
  <c r="HS30" i="2"/>
  <c r="HR30" i="2"/>
  <c r="HQ30" i="2"/>
  <c r="HP30" i="2"/>
  <c r="HO30" i="2"/>
  <c r="HN30" i="2"/>
  <c r="HM30" i="2"/>
  <c r="HL30" i="2"/>
  <c r="HK30" i="2"/>
  <c r="HJ30" i="2"/>
  <c r="HI30" i="2"/>
  <c r="HH30" i="2"/>
  <c r="HG30" i="2"/>
  <c r="HF30" i="2"/>
  <c r="HE30" i="2"/>
  <c r="HD30" i="2"/>
  <c r="HC30" i="2"/>
  <c r="HB30" i="2"/>
  <c r="HA30" i="2"/>
  <c r="GZ30" i="2"/>
  <c r="GY30" i="2"/>
  <c r="GX30" i="2"/>
  <c r="GW30" i="2"/>
  <c r="GV30" i="2"/>
  <c r="GU30" i="2"/>
  <c r="GT30" i="2"/>
  <c r="GS30" i="2"/>
  <c r="GR30" i="2"/>
  <c r="GQ30" i="2"/>
  <c r="GP30" i="2"/>
  <c r="GO30" i="2"/>
  <c r="GN30" i="2"/>
  <c r="GM30" i="2"/>
  <c r="GL30" i="2"/>
  <c r="GK30" i="2"/>
  <c r="GJ30" i="2"/>
  <c r="GI30" i="2"/>
  <c r="GH30" i="2"/>
  <c r="GG30" i="2"/>
  <c r="GF30" i="2"/>
  <c r="GE30" i="2"/>
  <c r="GD30" i="2"/>
  <c r="GC30" i="2"/>
  <c r="GB30" i="2"/>
  <c r="GA30" i="2"/>
  <c r="FZ30" i="2"/>
  <c r="FY30" i="2"/>
  <c r="FX30" i="2"/>
  <c r="FW30" i="2"/>
  <c r="FV30" i="2"/>
  <c r="FU30" i="2"/>
  <c r="FT30" i="2"/>
  <c r="FS30" i="2"/>
  <c r="FR30" i="2"/>
  <c r="FQ30" i="2"/>
  <c r="FP30" i="2"/>
  <c r="FO30" i="2"/>
  <c r="FN30" i="2"/>
  <c r="FM30" i="2"/>
  <c r="FL30" i="2"/>
  <c r="FK30" i="2"/>
  <c r="FJ30" i="2"/>
  <c r="FI30" i="2"/>
  <c r="FH30" i="2"/>
  <c r="FG30" i="2"/>
  <c r="FF30" i="2"/>
  <c r="FE30" i="2"/>
  <c r="FD30" i="2"/>
  <c r="FC30" i="2"/>
  <c r="FB30" i="2"/>
  <c r="FA30" i="2"/>
  <c r="EZ30" i="2"/>
  <c r="EY30" i="2"/>
  <c r="EX30" i="2"/>
  <c r="EW30" i="2"/>
  <c r="EV30" i="2"/>
  <c r="EU30" i="2"/>
  <c r="ET30" i="2"/>
  <c r="ES30" i="2"/>
  <c r="ER30" i="2"/>
  <c r="EQ30" i="2"/>
  <c r="EP30" i="2"/>
  <c r="EO30" i="2"/>
  <c r="EN30" i="2"/>
  <c r="EM30" i="2"/>
  <c r="EL30" i="2"/>
  <c r="EK30" i="2"/>
  <c r="EJ30" i="2"/>
  <c r="EI30" i="2"/>
  <c r="EH30" i="2"/>
  <c r="EG30" i="2"/>
  <c r="EF30" i="2"/>
  <c r="EE30" i="2"/>
  <c r="ED30" i="2"/>
  <c r="EC30" i="2"/>
  <c r="EB30" i="2"/>
  <c r="EA30" i="2"/>
  <c r="DZ30" i="2"/>
  <c r="DY30" i="2"/>
  <c r="DX30" i="2"/>
  <c r="DW30" i="2"/>
  <c r="DV30" i="2"/>
  <c r="DU30" i="2"/>
  <c r="DT30" i="2"/>
  <c r="DS30" i="2"/>
  <c r="DR30" i="2"/>
  <c r="DQ30" i="2"/>
  <c r="DP30" i="2"/>
  <c r="DO30" i="2"/>
  <c r="DN30" i="2"/>
  <c r="DM30" i="2"/>
  <c r="DL30" i="2"/>
  <c r="DK30" i="2"/>
  <c r="DJ30" i="2"/>
  <c r="DI30" i="2"/>
  <c r="DH30" i="2"/>
  <c r="DG30" i="2"/>
  <c r="DF30" i="2"/>
  <c r="DE30" i="2"/>
  <c r="DD30" i="2"/>
  <c r="DC30" i="2"/>
  <c r="DB30" i="2"/>
  <c r="DA30" i="2"/>
  <c r="CZ30" i="2"/>
  <c r="CY30" i="2"/>
  <c r="CX30" i="2"/>
  <c r="CW30" i="2"/>
  <c r="CV30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B30" i="2"/>
  <c r="II29" i="2"/>
  <c r="IH29" i="2"/>
  <c r="IG29" i="2"/>
  <c r="IF29" i="2"/>
  <c r="IE29" i="2"/>
  <c r="ID29" i="2"/>
  <c r="IC29" i="2"/>
  <c r="IB29" i="2"/>
  <c r="IA29" i="2"/>
  <c r="HZ29" i="2"/>
  <c r="HY29" i="2"/>
  <c r="HX29" i="2"/>
  <c r="HW29" i="2"/>
  <c r="HV29" i="2"/>
  <c r="HU29" i="2"/>
  <c r="HT29" i="2"/>
  <c r="HS29" i="2"/>
  <c r="HR29" i="2"/>
  <c r="HQ29" i="2"/>
  <c r="HP29" i="2"/>
  <c r="HO29" i="2"/>
  <c r="HN29" i="2"/>
  <c r="HM29" i="2"/>
  <c r="HL29" i="2"/>
  <c r="HK29" i="2"/>
  <c r="HJ29" i="2"/>
  <c r="HI29" i="2"/>
  <c r="HH29" i="2"/>
  <c r="HG29" i="2"/>
  <c r="HF29" i="2"/>
  <c r="HE29" i="2"/>
  <c r="HD29" i="2"/>
  <c r="HC29" i="2"/>
  <c r="HB29" i="2"/>
  <c r="HA29" i="2"/>
  <c r="GZ29" i="2"/>
  <c r="GY29" i="2"/>
  <c r="GX29" i="2"/>
  <c r="GW29" i="2"/>
  <c r="GV29" i="2"/>
  <c r="GU29" i="2"/>
  <c r="GT29" i="2"/>
  <c r="GS29" i="2"/>
  <c r="GR29" i="2"/>
  <c r="GQ29" i="2"/>
  <c r="GP29" i="2"/>
  <c r="GO29" i="2"/>
  <c r="GN29" i="2"/>
  <c r="GM29" i="2"/>
  <c r="GL29" i="2"/>
  <c r="GK29" i="2"/>
  <c r="GJ29" i="2"/>
  <c r="GI29" i="2"/>
  <c r="GH29" i="2"/>
  <c r="GG29" i="2"/>
  <c r="GF29" i="2"/>
  <c r="GE29" i="2"/>
  <c r="GD29" i="2"/>
  <c r="GC29" i="2"/>
  <c r="GB29" i="2"/>
  <c r="GA29" i="2"/>
  <c r="FZ29" i="2"/>
  <c r="FY29" i="2"/>
  <c r="FX29" i="2"/>
  <c r="FW29" i="2"/>
  <c r="FV29" i="2"/>
  <c r="FU29" i="2"/>
  <c r="FT29" i="2"/>
  <c r="FS29" i="2"/>
  <c r="FR29" i="2"/>
  <c r="FQ29" i="2"/>
  <c r="FP29" i="2"/>
  <c r="FO29" i="2"/>
  <c r="FN29" i="2"/>
  <c r="FM29" i="2"/>
  <c r="FL29" i="2"/>
  <c r="FK29" i="2"/>
  <c r="FJ29" i="2"/>
  <c r="FI29" i="2"/>
  <c r="FH29" i="2"/>
  <c r="FG29" i="2"/>
  <c r="FF29" i="2"/>
  <c r="FE29" i="2"/>
  <c r="FD29" i="2"/>
  <c r="FC29" i="2"/>
  <c r="FB29" i="2"/>
  <c r="FA29" i="2"/>
  <c r="EZ29" i="2"/>
  <c r="EY29" i="2"/>
  <c r="EX29" i="2"/>
  <c r="EW29" i="2"/>
  <c r="EV29" i="2"/>
  <c r="EU29" i="2"/>
  <c r="ET29" i="2"/>
  <c r="ES29" i="2"/>
  <c r="ER29" i="2"/>
  <c r="EQ29" i="2"/>
  <c r="EP29" i="2"/>
  <c r="EO29" i="2"/>
  <c r="EN29" i="2"/>
  <c r="EM29" i="2"/>
  <c r="EL29" i="2"/>
  <c r="EK29" i="2"/>
  <c r="EJ29" i="2"/>
  <c r="EI29" i="2"/>
  <c r="EH29" i="2"/>
  <c r="EG29" i="2"/>
  <c r="EF29" i="2"/>
  <c r="EE29" i="2"/>
  <c r="ED29" i="2"/>
  <c r="EC29" i="2"/>
  <c r="EB29" i="2"/>
  <c r="EA29" i="2"/>
  <c r="DZ29" i="2"/>
  <c r="DY29" i="2"/>
  <c r="DX29" i="2"/>
  <c r="DW29" i="2"/>
  <c r="DV29" i="2"/>
  <c r="DU29" i="2"/>
  <c r="DT29" i="2"/>
  <c r="DS29" i="2"/>
  <c r="DR29" i="2"/>
  <c r="DQ29" i="2"/>
  <c r="DP29" i="2"/>
  <c r="DO29" i="2"/>
  <c r="DN29" i="2"/>
  <c r="DM29" i="2"/>
  <c r="DL29" i="2"/>
  <c r="DK29" i="2"/>
  <c r="DJ29" i="2"/>
  <c r="DI29" i="2"/>
  <c r="DH29" i="2"/>
  <c r="DG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F29" i="2"/>
  <c r="E29" i="2"/>
  <c r="D29" i="2"/>
  <c r="B29" i="2"/>
  <c r="II28" i="2"/>
  <c r="IH28" i="2"/>
  <c r="IG28" i="2"/>
  <c r="IF28" i="2"/>
  <c r="IE28" i="2"/>
  <c r="ID28" i="2"/>
  <c r="IC28" i="2"/>
  <c r="IB28" i="2"/>
  <c r="IA28" i="2"/>
  <c r="HZ28" i="2"/>
  <c r="HY28" i="2"/>
  <c r="HX28" i="2"/>
  <c r="HW28" i="2"/>
  <c r="HV28" i="2"/>
  <c r="HU28" i="2"/>
  <c r="HT28" i="2"/>
  <c r="HS28" i="2"/>
  <c r="HR28" i="2"/>
  <c r="HQ28" i="2"/>
  <c r="HP28" i="2"/>
  <c r="HO28" i="2"/>
  <c r="HN28" i="2"/>
  <c r="HM28" i="2"/>
  <c r="HL28" i="2"/>
  <c r="HK28" i="2"/>
  <c r="HJ28" i="2"/>
  <c r="HI28" i="2"/>
  <c r="HH28" i="2"/>
  <c r="HG28" i="2"/>
  <c r="HF28" i="2"/>
  <c r="HE28" i="2"/>
  <c r="HD28" i="2"/>
  <c r="HC28" i="2"/>
  <c r="HB28" i="2"/>
  <c r="HA28" i="2"/>
  <c r="GZ28" i="2"/>
  <c r="GY28" i="2"/>
  <c r="GX28" i="2"/>
  <c r="GW28" i="2"/>
  <c r="GV28" i="2"/>
  <c r="GU28" i="2"/>
  <c r="GT28" i="2"/>
  <c r="GS28" i="2"/>
  <c r="GR28" i="2"/>
  <c r="GQ28" i="2"/>
  <c r="GP28" i="2"/>
  <c r="GO28" i="2"/>
  <c r="GN28" i="2"/>
  <c r="GM28" i="2"/>
  <c r="GL28" i="2"/>
  <c r="GK28" i="2"/>
  <c r="GJ28" i="2"/>
  <c r="GI28" i="2"/>
  <c r="GH28" i="2"/>
  <c r="GG28" i="2"/>
  <c r="GF28" i="2"/>
  <c r="GE28" i="2"/>
  <c r="GD28" i="2"/>
  <c r="GC28" i="2"/>
  <c r="GB28" i="2"/>
  <c r="GA28" i="2"/>
  <c r="FZ28" i="2"/>
  <c r="FY28" i="2"/>
  <c r="FX28" i="2"/>
  <c r="FW28" i="2"/>
  <c r="FV28" i="2"/>
  <c r="FU28" i="2"/>
  <c r="FT28" i="2"/>
  <c r="FS28" i="2"/>
  <c r="FR28" i="2"/>
  <c r="FQ28" i="2"/>
  <c r="FP28" i="2"/>
  <c r="FO28" i="2"/>
  <c r="FN28" i="2"/>
  <c r="FM28" i="2"/>
  <c r="FL28" i="2"/>
  <c r="FK28" i="2"/>
  <c r="FJ28" i="2"/>
  <c r="FI28" i="2"/>
  <c r="FH28" i="2"/>
  <c r="FG28" i="2"/>
  <c r="FF28" i="2"/>
  <c r="FE28" i="2"/>
  <c r="FD28" i="2"/>
  <c r="FC28" i="2"/>
  <c r="FB28" i="2"/>
  <c r="FA28" i="2"/>
  <c r="EZ28" i="2"/>
  <c r="EY28" i="2"/>
  <c r="EX28" i="2"/>
  <c r="EW28" i="2"/>
  <c r="EV28" i="2"/>
  <c r="EU28" i="2"/>
  <c r="ET28" i="2"/>
  <c r="ES28" i="2"/>
  <c r="ER28" i="2"/>
  <c r="EQ28" i="2"/>
  <c r="EP28" i="2"/>
  <c r="EO28" i="2"/>
  <c r="EN28" i="2"/>
  <c r="EM28" i="2"/>
  <c r="EL28" i="2"/>
  <c r="EK28" i="2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B28" i="2"/>
  <c r="II27" i="2"/>
  <c r="IH27" i="2"/>
  <c r="IG27" i="2"/>
  <c r="IF27" i="2"/>
  <c r="IE27" i="2"/>
  <c r="ID27" i="2"/>
  <c r="IC27" i="2"/>
  <c r="IB27" i="2"/>
  <c r="IA27" i="2"/>
  <c r="HZ27" i="2"/>
  <c r="HY27" i="2"/>
  <c r="HX27" i="2"/>
  <c r="HW27" i="2"/>
  <c r="HV27" i="2"/>
  <c r="HU27" i="2"/>
  <c r="HT27" i="2"/>
  <c r="HS27" i="2"/>
  <c r="HR27" i="2"/>
  <c r="HQ27" i="2"/>
  <c r="HP27" i="2"/>
  <c r="HO27" i="2"/>
  <c r="HN27" i="2"/>
  <c r="HM27" i="2"/>
  <c r="HL27" i="2"/>
  <c r="HK27" i="2"/>
  <c r="HJ27" i="2"/>
  <c r="HI27" i="2"/>
  <c r="HH27" i="2"/>
  <c r="HG27" i="2"/>
  <c r="HF27" i="2"/>
  <c r="HE27" i="2"/>
  <c r="HD27" i="2"/>
  <c r="HC27" i="2"/>
  <c r="HB27" i="2"/>
  <c r="HA27" i="2"/>
  <c r="GZ27" i="2"/>
  <c r="GY27" i="2"/>
  <c r="GX27" i="2"/>
  <c r="GW27" i="2"/>
  <c r="GV27" i="2"/>
  <c r="GU27" i="2"/>
  <c r="GT27" i="2"/>
  <c r="GS27" i="2"/>
  <c r="GR27" i="2"/>
  <c r="GQ27" i="2"/>
  <c r="GP27" i="2"/>
  <c r="GO27" i="2"/>
  <c r="GN27" i="2"/>
  <c r="GM27" i="2"/>
  <c r="GL27" i="2"/>
  <c r="GK27" i="2"/>
  <c r="GJ27" i="2"/>
  <c r="GI27" i="2"/>
  <c r="GH27" i="2"/>
  <c r="GG27" i="2"/>
  <c r="GF27" i="2"/>
  <c r="GE27" i="2"/>
  <c r="GD27" i="2"/>
  <c r="GC27" i="2"/>
  <c r="GB27" i="2"/>
  <c r="GA27" i="2"/>
  <c r="FZ27" i="2"/>
  <c r="FY27" i="2"/>
  <c r="FX27" i="2"/>
  <c r="FW27" i="2"/>
  <c r="FV27" i="2"/>
  <c r="FU27" i="2"/>
  <c r="FT27" i="2"/>
  <c r="FS27" i="2"/>
  <c r="FR27" i="2"/>
  <c r="FQ27" i="2"/>
  <c r="FP27" i="2"/>
  <c r="FO27" i="2"/>
  <c r="FN27" i="2"/>
  <c r="FM27" i="2"/>
  <c r="FL27" i="2"/>
  <c r="FK27" i="2"/>
  <c r="FJ27" i="2"/>
  <c r="FI27" i="2"/>
  <c r="FH27" i="2"/>
  <c r="FG27" i="2"/>
  <c r="FF27" i="2"/>
  <c r="FE27" i="2"/>
  <c r="FD27" i="2"/>
  <c r="FC27" i="2"/>
  <c r="FB27" i="2"/>
  <c r="FA27" i="2"/>
  <c r="EZ27" i="2"/>
  <c r="EY27" i="2"/>
  <c r="EX27" i="2"/>
  <c r="EW27" i="2"/>
  <c r="EV27" i="2"/>
  <c r="EU27" i="2"/>
  <c r="ET27" i="2"/>
  <c r="ES27" i="2"/>
  <c r="ER27" i="2"/>
  <c r="EQ27" i="2"/>
  <c r="EP27" i="2"/>
  <c r="EO27" i="2"/>
  <c r="EN27" i="2"/>
  <c r="EM27" i="2"/>
  <c r="EL27" i="2"/>
  <c r="EK27" i="2"/>
  <c r="EJ27" i="2"/>
  <c r="EI27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B27" i="2"/>
  <c r="II26" i="2"/>
  <c r="IH26" i="2"/>
  <c r="IG26" i="2"/>
  <c r="IF26" i="2"/>
  <c r="IE26" i="2"/>
  <c r="ID26" i="2"/>
  <c r="IC26" i="2"/>
  <c r="IB26" i="2"/>
  <c r="IA26" i="2"/>
  <c r="HZ26" i="2"/>
  <c r="HY26" i="2"/>
  <c r="HX26" i="2"/>
  <c r="HW26" i="2"/>
  <c r="HV26" i="2"/>
  <c r="HU26" i="2"/>
  <c r="HT26" i="2"/>
  <c r="HS26" i="2"/>
  <c r="HR26" i="2"/>
  <c r="HQ26" i="2"/>
  <c r="HP26" i="2"/>
  <c r="HO26" i="2"/>
  <c r="HN26" i="2"/>
  <c r="HM26" i="2"/>
  <c r="HL26" i="2"/>
  <c r="HK26" i="2"/>
  <c r="HJ26" i="2"/>
  <c r="HI26" i="2"/>
  <c r="HH26" i="2"/>
  <c r="HG26" i="2"/>
  <c r="HF26" i="2"/>
  <c r="HE26" i="2"/>
  <c r="HD26" i="2"/>
  <c r="HC26" i="2"/>
  <c r="HB26" i="2"/>
  <c r="HA26" i="2"/>
  <c r="GZ26" i="2"/>
  <c r="GY26" i="2"/>
  <c r="GX26" i="2"/>
  <c r="GW26" i="2"/>
  <c r="GV26" i="2"/>
  <c r="GU26" i="2"/>
  <c r="GT26" i="2"/>
  <c r="GS26" i="2"/>
  <c r="GR26" i="2"/>
  <c r="GQ26" i="2"/>
  <c r="GP26" i="2"/>
  <c r="GO26" i="2"/>
  <c r="GN26" i="2"/>
  <c r="GM26" i="2"/>
  <c r="GL26" i="2"/>
  <c r="GK26" i="2"/>
  <c r="GJ26" i="2"/>
  <c r="GI26" i="2"/>
  <c r="GH26" i="2"/>
  <c r="GG26" i="2"/>
  <c r="GF26" i="2"/>
  <c r="GE26" i="2"/>
  <c r="GD26" i="2"/>
  <c r="GC26" i="2"/>
  <c r="GB26" i="2"/>
  <c r="GA26" i="2"/>
  <c r="FZ26" i="2"/>
  <c r="FY26" i="2"/>
  <c r="FX26" i="2"/>
  <c r="FW26" i="2"/>
  <c r="FV26" i="2"/>
  <c r="FU26" i="2"/>
  <c r="FT26" i="2"/>
  <c r="FS26" i="2"/>
  <c r="FR26" i="2"/>
  <c r="FQ26" i="2"/>
  <c r="FP26" i="2"/>
  <c r="FO26" i="2"/>
  <c r="FN26" i="2"/>
  <c r="FM26" i="2"/>
  <c r="FL26" i="2"/>
  <c r="FK26" i="2"/>
  <c r="FJ26" i="2"/>
  <c r="FI26" i="2"/>
  <c r="FH26" i="2"/>
  <c r="FG26" i="2"/>
  <c r="FF26" i="2"/>
  <c r="FE26" i="2"/>
  <c r="FD26" i="2"/>
  <c r="FC26" i="2"/>
  <c r="FB26" i="2"/>
  <c r="FA26" i="2"/>
  <c r="EZ26" i="2"/>
  <c r="EY26" i="2"/>
  <c r="EX26" i="2"/>
  <c r="EW26" i="2"/>
  <c r="EV26" i="2"/>
  <c r="EU26" i="2"/>
  <c r="ET26" i="2"/>
  <c r="ES26" i="2"/>
  <c r="ER26" i="2"/>
  <c r="EQ26" i="2"/>
  <c r="EP26" i="2"/>
  <c r="EO26" i="2"/>
  <c r="EN26" i="2"/>
  <c r="EM26" i="2"/>
  <c r="EL26" i="2"/>
  <c r="EK26" i="2"/>
  <c r="EJ26" i="2"/>
  <c r="EI26" i="2"/>
  <c r="EH26" i="2"/>
  <c r="EG26" i="2"/>
  <c r="EF26" i="2"/>
  <c r="EE26" i="2"/>
  <c r="ED26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H26" i="2"/>
  <c r="DG26" i="2"/>
  <c r="DF26" i="2"/>
  <c r="DE26" i="2"/>
  <c r="DD26" i="2"/>
  <c r="DC26" i="2"/>
  <c r="DB26" i="2"/>
  <c r="DA26" i="2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B26" i="2"/>
  <c r="II25" i="2"/>
  <c r="IH25" i="2"/>
  <c r="IG25" i="2"/>
  <c r="IF25" i="2"/>
  <c r="IE25" i="2"/>
  <c r="ID25" i="2"/>
  <c r="IC25" i="2"/>
  <c r="IB25" i="2"/>
  <c r="IA25" i="2"/>
  <c r="HZ25" i="2"/>
  <c r="HY25" i="2"/>
  <c r="HX25" i="2"/>
  <c r="HW25" i="2"/>
  <c r="HV25" i="2"/>
  <c r="HU25" i="2"/>
  <c r="HT25" i="2"/>
  <c r="HS25" i="2"/>
  <c r="HR25" i="2"/>
  <c r="HQ25" i="2"/>
  <c r="HP25" i="2"/>
  <c r="HO25" i="2"/>
  <c r="HN25" i="2"/>
  <c r="HM25" i="2"/>
  <c r="HL25" i="2"/>
  <c r="HK25" i="2"/>
  <c r="HJ25" i="2"/>
  <c r="HI25" i="2"/>
  <c r="HH25" i="2"/>
  <c r="HG25" i="2"/>
  <c r="HF25" i="2"/>
  <c r="HE25" i="2"/>
  <c r="HD25" i="2"/>
  <c r="HC25" i="2"/>
  <c r="HB25" i="2"/>
  <c r="HA25" i="2"/>
  <c r="GZ25" i="2"/>
  <c r="GY25" i="2"/>
  <c r="GX25" i="2"/>
  <c r="GW25" i="2"/>
  <c r="GV25" i="2"/>
  <c r="GU25" i="2"/>
  <c r="GT25" i="2"/>
  <c r="GS25" i="2"/>
  <c r="GR25" i="2"/>
  <c r="GQ25" i="2"/>
  <c r="GP25" i="2"/>
  <c r="GO25" i="2"/>
  <c r="GN25" i="2"/>
  <c r="GM25" i="2"/>
  <c r="GL25" i="2"/>
  <c r="GK25" i="2"/>
  <c r="GJ25" i="2"/>
  <c r="GI25" i="2"/>
  <c r="GH25" i="2"/>
  <c r="GG25" i="2"/>
  <c r="GF25" i="2"/>
  <c r="GE25" i="2"/>
  <c r="GD25" i="2"/>
  <c r="GC25" i="2"/>
  <c r="GB25" i="2"/>
  <c r="GA25" i="2"/>
  <c r="FZ25" i="2"/>
  <c r="FY25" i="2"/>
  <c r="FX25" i="2"/>
  <c r="FW25" i="2"/>
  <c r="FV25" i="2"/>
  <c r="FU25" i="2"/>
  <c r="FT25" i="2"/>
  <c r="FS25" i="2"/>
  <c r="FR25" i="2"/>
  <c r="FQ25" i="2"/>
  <c r="FP25" i="2"/>
  <c r="FO25" i="2"/>
  <c r="FN25" i="2"/>
  <c r="FM25" i="2"/>
  <c r="FL25" i="2"/>
  <c r="FK25" i="2"/>
  <c r="FJ25" i="2"/>
  <c r="FI25" i="2"/>
  <c r="FH25" i="2"/>
  <c r="FG25" i="2"/>
  <c r="FF25" i="2"/>
  <c r="FE25" i="2"/>
  <c r="FD25" i="2"/>
  <c r="FC25" i="2"/>
  <c r="FB25" i="2"/>
  <c r="FA25" i="2"/>
  <c r="EZ25" i="2"/>
  <c r="EY25" i="2"/>
  <c r="EX25" i="2"/>
  <c r="EW25" i="2"/>
  <c r="EV25" i="2"/>
  <c r="EU25" i="2"/>
  <c r="ET25" i="2"/>
  <c r="ES25" i="2"/>
  <c r="ER25" i="2"/>
  <c r="EQ25" i="2"/>
  <c r="EP25" i="2"/>
  <c r="EO25" i="2"/>
  <c r="EN25" i="2"/>
  <c r="EM25" i="2"/>
  <c r="EL25" i="2"/>
  <c r="EK25" i="2"/>
  <c r="EJ25" i="2"/>
  <c r="EI25" i="2"/>
  <c r="EH25" i="2"/>
  <c r="EG25" i="2"/>
  <c r="EF25" i="2"/>
  <c r="EE25" i="2"/>
  <c r="ED25" i="2"/>
  <c r="EC25" i="2"/>
  <c r="EB25" i="2"/>
  <c r="EA25" i="2"/>
  <c r="DZ25" i="2"/>
  <c r="DY25" i="2"/>
  <c r="DX25" i="2"/>
  <c r="DW25" i="2"/>
  <c r="DV25" i="2"/>
  <c r="DU25" i="2"/>
  <c r="DT25" i="2"/>
  <c r="DS25" i="2"/>
  <c r="DR25" i="2"/>
  <c r="DQ25" i="2"/>
  <c r="DP25" i="2"/>
  <c r="DO25" i="2"/>
  <c r="DN25" i="2"/>
  <c r="DM25" i="2"/>
  <c r="DL25" i="2"/>
  <c r="DK25" i="2"/>
  <c r="DJ25" i="2"/>
  <c r="DI25" i="2"/>
  <c r="DH25" i="2"/>
  <c r="DG25" i="2"/>
  <c r="DF25" i="2"/>
  <c r="DE25" i="2"/>
  <c r="DD25" i="2"/>
  <c r="DC25" i="2"/>
  <c r="DB25" i="2"/>
  <c r="DA25" i="2"/>
  <c r="CZ25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B25" i="2"/>
  <c r="II24" i="2"/>
  <c r="IH24" i="2"/>
  <c r="IG24" i="2"/>
  <c r="IF24" i="2"/>
  <c r="IE24" i="2"/>
  <c r="ID24" i="2"/>
  <c r="IC24" i="2"/>
  <c r="IB24" i="2"/>
  <c r="IA24" i="2"/>
  <c r="HZ24" i="2"/>
  <c r="HY24" i="2"/>
  <c r="HX24" i="2"/>
  <c r="HW24" i="2"/>
  <c r="HV24" i="2"/>
  <c r="HU24" i="2"/>
  <c r="HT24" i="2"/>
  <c r="HS24" i="2"/>
  <c r="HR24" i="2"/>
  <c r="HQ24" i="2"/>
  <c r="HP24" i="2"/>
  <c r="HO24" i="2"/>
  <c r="HN24" i="2"/>
  <c r="HM24" i="2"/>
  <c r="HL24" i="2"/>
  <c r="HK24" i="2"/>
  <c r="HJ24" i="2"/>
  <c r="HI24" i="2"/>
  <c r="HH24" i="2"/>
  <c r="HG24" i="2"/>
  <c r="HF24" i="2"/>
  <c r="HE24" i="2"/>
  <c r="HD24" i="2"/>
  <c r="HC24" i="2"/>
  <c r="HB24" i="2"/>
  <c r="HA24" i="2"/>
  <c r="GZ24" i="2"/>
  <c r="GY24" i="2"/>
  <c r="GX24" i="2"/>
  <c r="GW24" i="2"/>
  <c r="GV24" i="2"/>
  <c r="GU24" i="2"/>
  <c r="GT24" i="2"/>
  <c r="GS24" i="2"/>
  <c r="GR24" i="2"/>
  <c r="GQ24" i="2"/>
  <c r="GP24" i="2"/>
  <c r="GO24" i="2"/>
  <c r="GN24" i="2"/>
  <c r="GM24" i="2"/>
  <c r="GL24" i="2"/>
  <c r="GK24" i="2"/>
  <c r="GJ24" i="2"/>
  <c r="GI24" i="2"/>
  <c r="GH24" i="2"/>
  <c r="GG24" i="2"/>
  <c r="GF24" i="2"/>
  <c r="GE24" i="2"/>
  <c r="GD24" i="2"/>
  <c r="GC24" i="2"/>
  <c r="GB24" i="2"/>
  <c r="GA24" i="2"/>
  <c r="FZ24" i="2"/>
  <c r="FY24" i="2"/>
  <c r="FX24" i="2"/>
  <c r="FW24" i="2"/>
  <c r="FV24" i="2"/>
  <c r="FU24" i="2"/>
  <c r="FT24" i="2"/>
  <c r="FS24" i="2"/>
  <c r="FR24" i="2"/>
  <c r="FQ24" i="2"/>
  <c r="FP24" i="2"/>
  <c r="FO24" i="2"/>
  <c r="FN24" i="2"/>
  <c r="FM24" i="2"/>
  <c r="FL24" i="2"/>
  <c r="FK24" i="2"/>
  <c r="FJ24" i="2"/>
  <c r="FI24" i="2"/>
  <c r="FH24" i="2"/>
  <c r="FG24" i="2"/>
  <c r="FF24" i="2"/>
  <c r="FE24" i="2"/>
  <c r="FD24" i="2"/>
  <c r="FC24" i="2"/>
  <c r="FB24" i="2"/>
  <c r="FA24" i="2"/>
  <c r="EZ24" i="2"/>
  <c r="EY24" i="2"/>
  <c r="EX24" i="2"/>
  <c r="EW24" i="2"/>
  <c r="EV24" i="2"/>
  <c r="EU24" i="2"/>
  <c r="ET24" i="2"/>
  <c r="ES24" i="2"/>
  <c r="ER24" i="2"/>
  <c r="EQ24" i="2"/>
  <c r="EP24" i="2"/>
  <c r="EO24" i="2"/>
  <c r="EN24" i="2"/>
  <c r="EM24" i="2"/>
  <c r="EL24" i="2"/>
  <c r="EK24" i="2"/>
  <c r="EJ24" i="2"/>
  <c r="EI24" i="2"/>
  <c r="EH24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B24" i="2"/>
  <c r="II23" i="2"/>
  <c r="IH23" i="2"/>
  <c r="IG23" i="2"/>
  <c r="IF23" i="2"/>
  <c r="IE23" i="2"/>
  <c r="ID23" i="2"/>
  <c r="IC23" i="2"/>
  <c r="IB23" i="2"/>
  <c r="IA23" i="2"/>
  <c r="HZ23" i="2"/>
  <c r="HY23" i="2"/>
  <c r="HX23" i="2"/>
  <c r="HW23" i="2"/>
  <c r="HV23" i="2"/>
  <c r="HU23" i="2"/>
  <c r="HT23" i="2"/>
  <c r="HS23" i="2"/>
  <c r="HR23" i="2"/>
  <c r="HQ23" i="2"/>
  <c r="HP23" i="2"/>
  <c r="HO23" i="2"/>
  <c r="HN23" i="2"/>
  <c r="HM23" i="2"/>
  <c r="HL23" i="2"/>
  <c r="HK23" i="2"/>
  <c r="HJ23" i="2"/>
  <c r="HI23" i="2"/>
  <c r="HH23" i="2"/>
  <c r="HG23" i="2"/>
  <c r="HF23" i="2"/>
  <c r="HE23" i="2"/>
  <c r="HD23" i="2"/>
  <c r="HC23" i="2"/>
  <c r="HB23" i="2"/>
  <c r="HA23" i="2"/>
  <c r="GZ23" i="2"/>
  <c r="GY23" i="2"/>
  <c r="GX23" i="2"/>
  <c r="GW23" i="2"/>
  <c r="GV23" i="2"/>
  <c r="GU23" i="2"/>
  <c r="GT23" i="2"/>
  <c r="GS23" i="2"/>
  <c r="GR23" i="2"/>
  <c r="GQ23" i="2"/>
  <c r="GP23" i="2"/>
  <c r="GO23" i="2"/>
  <c r="GN23" i="2"/>
  <c r="GM23" i="2"/>
  <c r="GL23" i="2"/>
  <c r="GK23" i="2"/>
  <c r="GJ23" i="2"/>
  <c r="GI23" i="2"/>
  <c r="GH23" i="2"/>
  <c r="GG23" i="2"/>
  <c r="GF23" i="2"/>
  <c r="GE23" i="2"/>
  <c r="GD23" i="2"/>
  <c r="GC23" i="2"/>
  <c r="GB23" i="2"/>
  <c r="GA23" i="2"/>
  <c r="FZ23" i="2"/>
  <c r="FY23" i="2"/>
  <c r="FX23" i="2"/>
  <c r="FW23" i="2"/>
  <c r="FV23" i="2"/>
  <c r="FU23" i="2"/>
  <c r="FT23" i="2"/>
  <c r="FS23" i="2"/>
  <c r="FR23" i="2"/>
  <c r="FQ23" i="2"/>
  <c r="FP23" i="2"/>
  <c r="FO23" i="2"/>
  <c r="FN23" i="2"/>
  <c r="FM23" i="2"/>
  <c r="FL23" i="2"/>
  <c r="FK23" i="2"/>
  <c r="FJ23" i="2"/>
  <c r="FI23" i="2"/>
  <c r="FH23" i="2"/>
  <c r="FG23" i="2"/>
  <c r="FF23" i="2"/>
  <c r="FE23" i="2"/>
  <c r="FD23" i="2"/>
  <c r="FC23" i="2"/>
  <c r="FB23" i="2"/>
  <c r="FA23" i="2"/>
  <c r="EZ23" i="2"/>
  <c r="EY23" i="2"/>
  <c r="EX23" i="2"/>
  <c r="EW23" i="2"/>
  <c r="EV23" i="2"/>
  <c r="EU23" i="2"/>
  <c r="ET23" i="2"/>
  <c r="ES23" i="2"/>
  <c r="ER23" i="2"/>
  <c r="EQ23" i="2"/>
  <c r="EP23" i="2"/>
  <c r="EO23" i="2"/>
  <c r="EN23" i="2"/>
  <c r="EM23" i="2"/>
  <c r="EL23" i="2"/>
  <c r="EK23" i="2"/>
  <c r="EJ23" i="2"/>
  <c r="EI23" i="2"/>
  <c r="EH23" i="2"/>
  <c r="EG23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B23" i="2"/>
  <c r="II22" i="2"/>
  <c r="IH22" i="2"/>
  <c r="IG22" i="2"/>
  <c r="IF22" i="2"/>
  <c r="IE22" i="2"/>
  <c r="ID22" i="2"/>
  <c r="IC22" i="2"/>
  <c r="IB22" i="2"/>
  <c r="IA22" i="2"/>
  <c r="HZ22" i="2"/>
  <c r="HY22" i="2"/>
  <c r="HX22" i="2"/>
  <c r="HW22" i="2"/>
  <c r="HV22" i="2"/>
  <c r="HU22" i="2"/>
  <c r="HT22" i="2"/>
  <c r="HS22" i="2"/>
  <c r="HR22" i="2"/>
  <c r="HQ22" i="2"/>
  <c r="HP22" i="2"/>
  <c r="HO22" i="2"/>
  <c r="HN22" i="2"/>
  <c r="HM22" i="2"/>
  <c r="HL22" i="2"/>
  <c r="HK22" i="2"/>
  <c r="HJ22" i="2"/>
  <c r="HI22" i="2"/>
  <c r="HH22" i="2"/>
  <c r="HG22" i="2"/>
  <c r="HF22" i="2"/>
  <c r="HE22" i="2"/>
  <c r="HD22" i="2"/>
  <c r="HC22" i="2"/>
  <c r="HB22" i="2"/>
  <c r="HA22" i="2"/>
  <c r="GZ22" i="2"/>
  <c r="GY22" i="2"/>
  <c r="GX22" i="2"/>
  <c r="GW22" i="2"/>
  <c r="GV22" i="2"/>
  <c r="GU22" i="2"/>
  <c r="GT22" i="2"/>
  <c r="GS22" i="2"/>
  <c r="GR22" i="2"/>
  <c r="GQ22" i="2"/>
  <c r="GP22" i="2"/>
  <c r="GO22" i="2"/>
  <c r="GN22" i="2"/>
  <c r="GM22" i="2"/>
  <c r="GL22" i="2"/>
  <c r="GK22" i="2"/>
  <c r="GJ22" i="2"/>
  <c r="GI22" i="2"/>
  <c r="GH22" i="2"/>
  <c r="GG22" i="2"/>
  <c r="GF22" i="2"/>
  <c r="GE22" i="2"/>
  <c r="GD22" i="2"/>
  <c r="GC22" i="2"/>
  <c r="GB22" i="2"/>
  <c r="GA22" i="2"/>
  <c r="FZ22" i="2"/>
  <c r="FY22" i="2"/>
  <c r="FX22" i="2"/>
  <c r="FW22" i="2"/>
  <c r="FV22" i="2"/>
  <c r="FU22" i="2"/>
  <c r="FT22" i="2"/>
  <c r="FS22" i="2"/>
  <c r="FR22" i="2"/>
  <c r="FQ22" i="2"/>
  <c r="FP22" i="2"/>
  <c r="FO22" i="2"/>
  <c r="FN22" i="2"/>
  <c r="FM22" i="2"/>
  <c r="FL22" i="2"/>
  <c r="FK22" i="2"/>
  <c r="FJ22" i="2"/>
  <c r="FI22" i="2"/>
  <c r="FH22" i="2"/>
  <c r="FG22" i="2"/>
  <c r="FF22" i="2"/>
  <c r="FE22" i="2"/>
  <c r="FD22" i="2"/>
  <c r="FC22" i="2"/>
  <c r="FB22" i="2"/>
  <c r="FA22" i="2"/>
  <c r="EZ22" i="2"/>
  <c r="EY22" i="2"/>
  <c r="EX22" i="2"/>
  <c r="EW22" i="2"/>
  <c r="EV22" i="2"/>
  <c r="EU22" i="2"/>
  <c r="ET22" i="2"/>
  <c r="ES22" i="2"/>
  <c r="ER22" i="2"/>
  <c r="EQ22" i="2"/>
  <c r="EP22" i="2"/>
  <c r="EO22" i="2"/>
  <c r="EN22" i="2"/>
  <c r="EM22" i="2"/>
  <c r="EL22" i="2"/>
  <c r="EK22" i="2"/>
  <c r="EJ22" i="2"/>
  <c r="EI22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II21" i="2"/>
  <c r="IH21" i="2"/>
  <c r="IG21" i="2"/>
  <c r="IF21" i="2"/>
  <c r="IE21" i="2"/>
  <c r="ID21" i="2"/>
  <c r="IC21" i="2"/>
  <c r="IB21" i="2"/>
  <c r="IA21" i="2"/>
  <c r="HZ21" i="2"/>
  <c r="HY21" i="2"/>
  <c r="HX21" i="2"/>
  <c r="HW21" i="2"/>
  <c r="HV21" i="2"/>
  <c r="HU21" i="2"/>
  <c r="HT21" i="2"/>
  <c r="HS21" i="2"/>
  <c r="HR21" i="2"/>
  <c r="HQ21" i="2"/>
  <c r="HP21" i="2"/>
  <c r="HO21" i="2"/>
  <c r="HN21" i="2"/>
  <c r="HM21" i="2"/>
  <c r="HL21" i="2"/>
  <c r="HK21" i="2"/>
  <c r="HJ21" i="2"/>
  <c r="HI21" i="2"/>
  <c r="HH21" i="2"/>
  <c r="HG21" i="2"/>
  <c r="HF21" i="2"/>
  <c r="HE21" i="2"/>
  <c r="HD21" i="2"/>
  <c r="HC21" i="2"/>
  <c r="HB21" i="2"/>
  <c r="HA21" i="2"/>
  <c r="GZ21" i="2"/>
  <c r="GY21" i="2"/>
  <c r="GX21" i="2"/>
  <c r="GW21" i="2"/>
  <c r="GV21" i="2"/>
  <c r="GU21" i="2"/>
  <c r="GT21" i="2"/>
  <c r="GS21" i="2"/>
  <c r="GR21" i="2"/>
  <c r="GQ21" i="2"/>
  <c r="GP21" i="2"/>
  <c r="GO21" i="2"/>
  <c r="GN21" i="2"/>
  <c r="GM21" i="2"/>
  <c r="GL21" i="2"/>
  <c r="GK21" i="2"/>
  <c r="GJ21" i="2"/>
  <c r="GI21" i="2"/>
  <c r="GH21" i="2"/>
  <c r="GG21" i="2"/>
  <c r="GF21" i="2"/>
  <c r="GE21" i="2"/>
  <c r="GD21" i="2"/>
  <c r="GC21" i="2"/>
  <c r="GB21" i="2"/>
  <c r="GA21" i="2"/>
  <c r="FZ21" i="2"/>
  <c r="FY21" i="2"/>
  <c r="FX21" i="2"/>
  <c r="FW21" i="2"/>
  <c r="FV21" i="2"/>
  <c r="FU21" i="2"/>
  <c r="FT21" i="2"/>
  <c r="FS21" i="2"/>
  <c r="FR21" i="2"/>
  <c r="FQ21" i="2"/>
  <c r="FP21" i="2"/>
  <c r="FO21" i="2"/>
  <c r="FN21" i="2"/>
  <c r="FM21" i="2"/>
  <c r="FL21" i="2"/>
  <c r="FK21" i="2"/>
  <c r="FJ21" i="2"/>
  <c r="FI21" i="2"/>
  <c r="FH21" i="2"/>
  <c r="FG21" i="2"/>
  <c r="FF21" i="2"/>
  <c r="FE21" i="2"/>
  <c r="FD21" i="2"/>
  <c r="FC21" i="2"/>
  <c r="FB21" i="2"/>
  <c r="FA21" i="2"/>
  <c r="EZ21" i="2"/>
  <c r="EY21" i="2"/>
  <c r="EX21" i="2"/>
  <c r="EW21" i="2"/>
  <c r="EV21" i="2"/>
  <c r="EU21" i="2"/>
  <c r="ET21" i="2"/>
  <c r="ES21" i="2"/>
  <c r="ER21" i="2"/>
  <c r="EQ21" i="2"/>
  <c r="EP21" i="2"/>
  <c r="EO21" i="2"/>
  <c r="EN21" i="2"/>
  <c r="EM21" i="2"/>
  <c r="EL21" i="2"/>
  <c r="EK21" i="2"/>
  <c r="EJ21" i="2"/>
  <c r="EI21" i="2"/>
  <c r="EH21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B21" i="2"/>
  <c r="II20" i="2"/>
  <c r="IH20" i="2"/>
  <c r="IG20" i="2"/>
  <c r="IF20" i="2"/>
  <c r="IE20" i="2"/>
  <c r="ID20" i="2"/>
  <c r="IC20" i="2"/>
  <c r="IB20" i="2"/>
  <c r="IA20" i="2"/>
  <c r="HZ20" i="2"/>
  <c r="HY20" i="2"/>
  <c r="HX20" i="2"/>
  <c r="HW20" i="2"/>
  <c r="HV20" i="2"/>
  <c r="HU20" i="2"/>
  <c r="HT20" i="2"/>
  <c r="HS20" i="2"/>
  <c r="HR20" i="2"/>
  <c r="HQ20" i="2"/>
  <c r="HP20" i="2"/>
  <c r="HO20" i="2"/>
  <c r="HN20" i="2"/>
  <c r="HM20" i="2"/>
  <c r="HL20" i="2"/>
  <c r="HK20" i="2"/>
  <c r="HJ20" i="2"/>
  <c r="HI20" i="2"/>
  <c r="HH20" i="2"/>
  <c r="HG20" i="2"/>
  <c r="HF20" i="2"/>
  <c r="HE20" i="2"/>
  <c r="HD20" i="2"/>
  <c r="HC20" i="2"/>
  <c r="HB20" i="2"/>
  <c r="HA20" i="2"/>
  <c r="GZ20" i="2"/>
  <c r="GY20" i="2"/>
  <c r="GX20" i="2"/>
  <c r="GW20" i="2"/>
  <c r="GV20" i="2"/>
  <c r="GU20" i="2"/>
  <c r="GT20" i="2"/>
  <c r="GS20" i="2"/>
  <c r="GR20" i="2"/>
  <c r="GQ20" i="2"/>
  <c r="GP20" i="2"/>
  <c r="GO20" i="2"/>
  <c r="GN20" i="2"/>
  <c r="GM20" i="2"/>
  <c r="GL20" i="2"/>
  <c r="GK20" i="2"/>
  <c r="GJ20" i="2"/>
  <c r="GI20" i="2"/>
  <c r="GH20" i="2"/>
  <c r="GG20" i="2"/>
  <c r="GF20" i="2"/>
  <c r="GE20" i="2"/>
  <c r="GD20" i="2"/>
  <c r="GC20" i="2"/>
  <c r="GB20" i="2"/>
  <c r="GA20" i="2"/>
  <c r="FZ20" i="2"/>
  <c r="FY20" i="2"/>
  <c r="FX20" i="2"/>
  <c r="FW20" i="2"/>
  <c r="FV20" i="2"/>
  <c r="FU20" i="2"/>
  <c r="FT20" i="2"/>
  <c r="FS20" i="2"/>
  <c r="FR20" i="2"/>
  <c r="FQ20" i="2"/>
  <c r="FP20" i="2"/>
  <c r="FO20" i="2"/>
  <c r="FN20" i="2"/>
  <c r="FM20" i="2"/>
  <c r="FL20" i="2"/>
  <c r="FK20" i="2"/>
  <c r="FJ20" i="2"/>
  <c r="FI20" i="2"/>
  <c r="FH20" i="2"/>
  <c r="FG20" i="2"/>
  <c r="FF20" i="2"/>
  <c r="FE20" i="2"/>
  <c r="FD20" i="2"/>
  <c r="FC20" i="2"/>
  <c r="FB20" i="2"/>
  <c r="FA20" i="2"/>
  <c r="EZ20" i="2"/>
  <c r="EY20" i="2"/>
  <c r="EX20" i="2"/>
  <c r="EW20" i="2"/>
  <c r="EV20" i="2"/>
  <c r="EU20" i="2"/>
  <c r="ET20" i="2"/>
  <c r="ES20" i="2"/>
  <c r="ER20" i="2"/>
  <c r="EQ20" i="2"/>
  <c r="EP20" i="2"/>
  <c r="EO20" i="2"/>
  <c r="EN20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B20" i="2"/>
  <c r="II19" i="2"/>
  <c r="IH19" i="2"/>
  <c r="IG19" i="2"/>
  <c r="IF19" i="2"/>
  <c r="IE19" i="2"/>
  <c r="ID19" i="2"/>
  <c r="IC19" i="2"/>
  <c r="IB19" i="2"/>
  <c r="IA19" i="2"/>
  <c r="HZ19" i="2"/>
  <c r="HY19" i="2"/>
  <c r="HX19" i="2"/>
  <c r="HW19" i="2"/>
  <c r="HV19" i="2"/>
  <c r="HU19" i="2"/>
  <c r="HT19" i="2"/>
  <c r="HS19" i="2"/>
  <c r="HR19" i="2"/>
  <c r="HQ19" i="2"/>
  <c r="HP19" i="2"/>
  <c r="HO19" i="2"/>
  <c r="HN19" i="2"/>
  <c r="HM19" i="2"/>
  <c r="HL19" i="2"/>
  <c r="HK19" i="2"/>
  <c r="HJ19" i="2"/>
  <c r="HI19" i="2"/>
  <c r="HH19" i="2"/>
  <c r="HG19" i="2"/>
  <c r="HF19" i="2"/>
  <c r="HE19" i="2"/>
  <c r="HD19" i="2"/>
  <c r="HC19" i="2"/>
  <c r="HB19" i="2"/>
  <c r="HA19" i="2"/>
  <c r="GZ19" i="2"/>
  <c r="GY19" i="2"/>
  <c r="GX19" i="2"/>
  <c r="GW19" i="2"/>
  <c r="GV19" i="2"/>
  <c r="GU19" i="2"/>
  <c r="GT19" i="2"/>
  <c r="GS19" i="2"/>
  <c r="GR19" i="2"/>
  <c r="GQ19" i="2"/>
  <c r="GP19" i="2"/>
  <c r="GO19" i="2"/>
  <c r="GN19" i="2"/>
  <c r="GM19" i="2"/>
  <c r="GL19" i="2"/>
  <c r="GK19" i="2"/>
  <c r="GJ19" i="2"/>
  <c r="GI19" i="2"/>
  <c r="GH19" i="2"/>
  <c r="GG19" i="2"/>
  <c r="GF19" i="2"/>
  <c r="GE19" i="2"/>
  <c r="GD19" i="2"/>
  <c r="GC19" i="2"/>
  <c r="GB19" i="2"/>
  <c r="GA19" i="2"/>
  <c r="FZ19" i="2"/>
  <c r="FY19" i="2"/>
  <c r="FX19" i="2"/>
  <c r="FW19" i="2"/>
  <c r="FV19" i="2"/>
  <c r="FU19" i="2"/>
  <c r="FT19" i="2"/>
  <c r="FS19" i="2"/>
  <c r="FR19" i="2"/>
  <c r="FQ19" i="2"/>
  <c r="FP19" i="2"/>
  <c r="FO19" i="2"/>
  <c r="FN19" i="2"/>
  <c r="FM19" i="2"/>
  <c r="FL19" i="2"/>
  <c r="FK19" i="2"/>
  <c r="FJ19" i="2"/>
  <c r="FI19" i="2"/>
  <c r="FH19" i="2"/>
  <c r="FG19" i="2"/>
  <c r="FF19" i="2"/>
  <c r="FE19" i="2"/>
  <c r="FD19" i="2"/>
  <c r="FC19" i="2"/>
  <c r="FB19" i="2"/>
  <c r="FA19" i="2"/>
  <c r="EZ19" i="2"/>
  <c r="EY19" i="2"/>
  <c r="EX19" i="2"/>
  <c r="EW19" i="2"/>
  <c r="EV19" i="2"/>
  <c r="EU19" i="2"/>
  <c r="ET19" i="2"/>
  <c r="ES19" i="2"/>
  <c r="ER19" i="2"/>
  <c r="EQ19" i="2"/>
  <c r="EP19" i="2"/>
  <c r="EO19" i="2"/>
  <c r="EN19" i="2"/>
  <c r="EM19" i="2"/>
  <c r="EL19" i="2"/>
  <c r="EK19" i="2"/>
  <c r="EJ19" i="2"/>
  <c r="EI19" i="2"/>
  <c r="EH19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B19" i="2"/>
  <c r="II18" i="2"/>
  <c r="IH18" i="2"/>
  <c r="IG18" i="2"/>
  <c r="IF18" i="2"/>
  <c r="IE18" i="2"/>
  <c r="ID18" i="2"/>
  <c r="IC18" i="2"/>
  <c r="IB18" i="2"/>
  <c r="IA18" i="2"/>
  <c r="HZ18" i="2"/>
  <c r="HY18" i="2"/>
  <c r="HX18" i="2"/>
  <c r="HW18" i="2"/>
  <c r="HV18" i="2"/>
  <c r="HU18" i="2"/>
  <c r="HT18" i="2"/>
  <c r="HS18" i="2"/>
  <c r="HR18" i="2"/>
  <c r="HQ18" i="2"/>
  <c r="HP18" i="2"/>
  <c r="HO18" i="2"/>
  <c r="HN18" i="2"/>
  <c r="HM18" i="2"/>
  <c r="HL18" i="2"/>
  <c r="HK18" i="2"/>
  <c r="HJ18" i="2"/>
  <c r="HI18" i="2"/>
  <c r="HH18" i="2"/>
  <c r="HG18" i="2"/>
  <c r="HF18" i="2"/>
  <c r="HE18" i="2"/>
  <c r="HD18" i="2"/>
  <c r="HC18" i="2"/>
  <c r="HB18" i="2"/>
  <c r="HA18" i="2"/>
  <c r="GZ18" i="2"/>
  <c r="GY18" i="2"/>
  <c r="GX18" i="2"/>
  <c r="GW18" i="2"/>
  <c r="GV18" i="2"/>
  <c r="GU18" i="2"/>
  <c r="GT18" i="2"/>
  <c r="GS18" i="2"/>
  <c r="GR18" i="2"/>
  <c r="GQ18" i="2"/>
  <c r="GP18" i="2"/>
  <c r="GO18" i="2"/>
  <c r="GN18" i="2"/>
  <c r="GM18" i="2"/>
  <c r="GL18" i="2"/>
  <c r="GK18" i="2"/>
  <c r="GJ18" i="2"/>
  <c r="GI18" i="2"/>
  <c r="GH18" i="2"/>
  <c r="GG18" i="2"/>
  <c r="GF18" i="2"/>
  <c r="GE18" i="2"/>
  <c r="GD18" i="2"/>
  <c r="GC18" i="2"/>
  <c r="GB18" i="2"/>
  <c r="GA18" i="2"/>
  <c r="FZ18" i="2"/>
  <c r="FY18" i="2"/>
  <c r="FX18" i="2"/>
  <c r="FW18" i="2"/>
  <c r="FV18" i="2"/>
  <c r="FU18" i="2"/>
  <c r="FT18" i="2"/>
  <c r="FS18" i="2"/>
  <c r="FR18" i="2"/>
  <c r="FQ18" i="2"/>
  <c r="FP18" i="2"/>
  <c r="FO18" i="2"/>
  <c r="FN18" i="2"/>
  <c r="FM18" i="2"/>
  <c r="FL18" i="2"/>
  <c r="FK18" i="2"/>
  <c r="FJ18" i="2"/>
  <c r="FI18" i="2"/>
  <c r="FH18" i="2"/>
  <c r="FG18" i="2"/>
  <c r="FF18" i="2"/>
  <c r="FE18" i="2"/>
  <c r="FD18" i="2"/>
  <c r="FC18" i="2"/>
  <c r="FB18" i="2"/>
  <c r="FA18" i="2"/>
  <c r="EZ18" i="2"/>
  <c r="EY18" i="2"/>
  <c r="EX18" i="2"/>
  <c r="EW18" i="2"/>
  <c r="EV18" i="2"/>
  <c r="EU18" i="2"/>
  <c r="ET18" i="2"/>
  <c r="ES18" i="2"/>
  <c r="ER18" i="2"/>
  <c r="EQ18" i="2"/>
  <c r="EP18" i="2"/>
  <c r="EO18" i="2"/>
  <c r="EN18" i="2"/>
  <c r="EM18" i="2"/>
  <c r="EL18" i="2"/>
  <c r="EK18" i="2"/>
  <c r="EJ18" i="2"/>
  <c r="EI18" i="2"/>
  <c r="EH18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B18" i="2"/>
  <c r="II17" i="2"/>
  <c r="IH17" i="2"/>
  <c r="IG17" i="2"/>
  <c r="IF17" i="2"/>
  <c r="IE17" i="2"/>
  <c r="ID17" i="2"/>
  <c r="IC17" i="2"/>
  <c r="IB17" i="2"/>
  <c r="IA17" i="2"/>
  <c r="HZ17" i="2"/>
  <c r="HY17" i="2"/>
  <c r="HX17" i="2"/>
  <c r="HW17" i="2"/>
  <c r="HV17" i="2"/>
  <c r="HU17" i="2"/>
  <c r="HT17" i="2"/>
  <c r="HS17" i="2"/>
  <c r="HR17" i="2"/>
  <c r="HQ17" i="2"/>
  <c r="HP17" i="2"/>
  <c r="HO17" i="2"/>
  <c r="HN17" i="2"/>
  <c r="HM17" i="2"/>
  <c r="HL17" i="2"/>
  <c r="HK17" i="2"/>
  <c r="HJ17" i="2"/>
  <c r="HI17" i="2"/>
  <c r="HH17" i="2"/>
  <c r="HG17" i="2"/>
  <c r="HF17" i="2"/>
  <c r="HE17" i="2"/>
  <c r="HD17" i="2"/>
  <c r="HC17" i="2"/>
  <c r="HB17" i="2"/>
  <c r="HA17" i="2"/>
  <c r="GZ17" i="2"/>
  <c r="GY17" i="2"/>
  <c r="GX17" i="2"/>
  <c r="GW17" i="2"/>
  <c r="GV17" i="2"/>
  <c r="GU17" i="2"/>
  <c r="GT17" i="2"/>
  <c r="GS17" i="2"/>
  <c r="GR17" i="2"/>
  <c r="GQ17" i="2"/>
  <c r="GP17" i="2"/>
  <c r="GO17" i="2"/>
  <c r="GN17" i="2"/>
  <c r="GM17" i="2"/>
  <c r="GL17" i="2"/>
  <c r="GK17" i="2"/>
  <c r="GJ17" i="2"/>
  <c r="GI17" i="2"/>
  <c r="GH17" i="2"/>
  <c r="GG17" i="2"/>
  <c r="GF17" i="2"/>
  <c r="GE17" i="2"/>
  <c r="GD17" i="2"/>
  <c r="GC17" i="2"/>
  <c r="GB17" i="2"/>
  <c r="GA17" i="2"/>
  <c r="FZ17" i="2"/>
  <c r="FY17" i="2"/>
  <c r="FX17" i="2"/>
  <c r="FW17" i="2"/>
  <c r="FV17" i="2"/>
  <c r="FU17" i="2"/>
  <c r="FT17" i="2"/>
  <c r="FS17" i="2"/>
  <c r="FR17" i="2"/>
  <c r="FQ17" i="2"/>
  <c r="FP17" i="2"/>
  <c r="FO17" i="2"/>
  <c r="FN17" i="2"/>
  <c r="FM17" i="2"/>
  <c r="FL17" i="2"/>
  <c r="FK17" i="2"/>
  <c r="FJ17" i="2"/>
  <c r="FI17" i="2"/>
  <c r="FH17" i="2"/>
  <c r="FG17" i="2"/>
  <c r="FF17" i="2"/>
  <c r="FE17" i="2"/>
  <c r="FD17" i="2"/>
  <c r="FC17" i="2"/>
  <c r="FB17" i="2"/>
  <c r="FA17" i="2"/>
  <c r="EZ17" i="2"/>
  <c r="EY17" i="2"/>
  <c r="EX17" i="2"/>
  <c r="EW17" i="2"/>
  <c r="EV17" i="2"/>
  <c r="EU17" i="2"/>
  <c r="ET17" i="2"/>
  <c r="ES17" i="2"/>
  <c r="ER17" i="2"/>
  <c r="EQ17" i="2"/>
  <c r="EP17" i="2"/>
  <c r="EO17" i="2"/>
  <c r="EN17" i="2"/>
  <c r="EM17" i="2"/>
  <c r="EL17" i="2"/>
  <c r="EK17" i="2"/>
  <c r="EJ17" i="2"/>
  <c r="EI17" i="2"/>
  <c r="EH17" i="2"/>
  <c r="EG17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B17" i="2"/>
  <c r="II16" i="2"/>
  <c r="IH16" i="2"/>
  <c r="IG16" i="2"/>
  <c r="IF16" i="2"/>
  <c r="IE16" i="2"/>
  <c r="ID16" i="2"/>
  <c r="IC16" i="2"/>
  <c r="IB16" i="2"/>
  <c r="IA16" i="2"/>
  <c r="HZ16" i="2"/>
  <c r="HY16" i="2"/>
  <c r="HX16" i="2"/>
  <c r="HW16" i="2"/>
  <c r="HV16" i="2"/>
  <c r="HU16" i="2"/>
  <c r="HT16" i="2"/>
  <c r="HS16" i="2"/>
  <c r="HR16" i="2"/>
  <c r="HQ16" i="2"/>
  <c r="HP16" i="2"/>
  <c r="HO16" i="2"/>
  <c r="HN16" i="2"/>
  <c r="HM16" i="2"/>
  <c r="HL16" i="2"/>
  <c r="HK16" i="2"/>
  <c r="HJ16" i="2"/>
  <c r="HI16" i="2"/>
  <c r="HH16" i="2"/>
  <c r="HG16" i="2"/>
  <c r="HF16" i="2"/>
  <c r="HE16" i="2"/>
  <c r="HD16" i="2"/>
  <c r="HC16" i="2"/>
  <c r="HB16" i="2"/>
  <c r="HA16" i="2"/>
  <c r="GZ16" i="2"/>
  <c r="GY16" i="2"/>
  <c r="GX16" i="2"/>
  <c r="GW16" i="2"/>
  <c r="GV16" i="2"/>
  <c r="GU16" i="2"/>
  <c r="GT16" i="2"/>
  <c r="GS16" i="2"/>
  <c r="GR16" i="2"/>
  <c r="GQ16" i="2"/>
  <c r="GP16" i="2"/>
  <c r="GO16" i="2"/>
  <c r="GN16" i="2"/>
  <c r="GM16" i="2"/>
  <c r="GL16" i="2"/>
  <c r="GK16" i="2"/>
  <c r="GJ16" i="2"/>
  <c r="GI16" i="2"/>
  <c r="GH16" i="2"/>
  <c r="GG16" i="2"/>
  <c r="GF16" i="2"/>
  <c r="GE16" i="2"/>
  <c r="GD16" i="2"/>
  <c r="GC16" i="2"/>
  <c r="GB16" i="2"/>
  <c r="GA16" i="2"/>
  <c r="FZ16" i="2"/>
  <c r="FY16" i="2"/>
  <c r="FX16" i="2"/>
  <c r="FW16" i="2"/>
  <c r="FV16" i="2"/>
  <c r="FU16" i="2"/>
  <c r="FT16" i="2"/>
  <c r="FS16" i="2"/>
  <c r="FR16" i="2"/>
  <c r="FQ16" i="2"/>
  <c r="FP16" i="2"/>
  <c r="FO16" i="2"/>
  <c r="FN16" i="2"/>
  <c r="FM16" i="2"/>
  <c r="FL16" i="2"/>
  <c r="FK16" i="2"/>
  <c r="FJ16" i="2"/>
  <c r="FI16" i="2"/>
  <c r="FH16" i="2"/>
  <c r="FG16" i="2"/>
  <c r="FF16" i="2"/>
  <c r="FE16" i="2"/>
  <c r="FD16" i="2"/>
  <c r="FC16" i="2"/>
  <c r="FB16" i="2"/>
  <c r="FA16" i="2"/>
  <c r="EZ16" i="2"/>
  <c r="EY16" i="2"/>
  <c r="EX16" i="2"/>
  <c r="EW16" i="2"/>
  <c r="EV16" i="2"/>
  <c r="EU16" i="2"/>
  <c r="ET16" i="2"/>
  <c r="ES16" i="2"/>
  <c r="ER16" i="2"/>
  <c r="EQ16" i="2"/>
  <c r="EP16" i="2"/>
  <c r="EO16" i="2"/>
  <c r="EN16" i="2"/>
  <c r="EM16" i="2"/>
  <c r="EL16" i="2"/>
  <c r="EK16" i="2"/>
  <c r="EJ16" i="2"/>
  <c r="EI16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B16" i="2"/>
  <c r="II15" i="2"/>
  <c r="IH15" i="2"/>
  <c r="IG15" i="2"/>
  <c r="IF15" i="2"/>
  <c r="IE15" i="2"/>
  <c r="ID15" i="2"/>
  <c r="IC15" i="2"/>
  <c r="IB15" i="2"/>
  <c r="IA15" i="2"/>
  <c r="HZ15" i="2"/>
  <c r="HY15" i="2"/>
  <c r="HX15" i="2"/>
  <c r="HW15" i="2"/>
  <c r="HV15" i="2"/>
  <c r="HU15" i="2"/>
  <c r="HT15" i="2"/>
  <c r="HS15" i="2"/>
  <c r="HR15" i="2"/>
  <c r="HQ15" i="2"/>
  <c r="HP15" i="2"/>
  <c r="HO15" i="2"/>
  <c r="HN15" i="2"/>
  <c r="HM15" i="2"/>
  <c r="HL15" i="2"/>
  <c r="HK15" i="2"/>
  <c r="HJ15" i="2"/>
  <c r="HI15" i="2"/>
  <c r="HH15" i="2"/>
  <c r="HG15" i="2"/>
  <c r="HF15" i="2"/>
  <c r="HE15" i="2"/>
  <c r="HD15" i="2"/>
  <c r="HC15" i="2"/>
  <c r="HB15" i="2"/>
  <c r="HA15" i="2"/>
  <c r="GZ15" i="2"/>
  <c r="GY15" i="2"/>
  <c r="GX15" i="2"/>
  <c r="GW15" i="2"/>
  <c r="GV15" i="2"/>
  <c r="GU15" i="2"/>
  <c r="GT15" i="2"/>
  <c r="GS15" i="2"/>
  <c r="GR15" i="2"/>
  <c r="GQ15" i="2"/>
  <c r="GP15" i="2"/>
  <c r="GO15" i="2"/>
  <c r="GN15" i="2"/>
  <c r="GM15" i="2"/>
  <c r="GL15" i="2"/>
  <c r="GK15" i="2"/>
  <c r="GJ15" i="2"/>
  <c r="GI15" i="2"/>
  <c r="GH15" i="2"/>
  <c r="GG15" i="2"/>
  <c r="GF15" i="2"/>
  <c r="GE15" i="2"/>
  <c r="GD15" i="2"/>
  <c r="GC15" i="2"/>
  <c r="GB15" i="2"/>
  <c r="GA15" i="2"/>
  <c r="FZ15" i="2"/>
  <c r="FY15" i="2"/>
  <c r="FX15" i="2"/>
  <c r="FW15" i="2"/>
  <c r="FV15" i="2"/>
  <c r="FU15" i="2"/>
  <c r="FT15" i="2"/>
  <c r="FS15" i="2"/>
  <c r="FR15" i="2"/>
  <c r="FQ15" i="2"/>
  <c r="FP15" i="2"/>
  <c r="FO15" i="2"/>
  <c r="FN15" i="2"/>
  <c r="FM15" i="2"/>
  <c r="FL15" i="2"/>
  <c r="FK15" i="2"/>
  <c r="FJ15" i="2"/>
  <c r="FI15" i="2"/>
  <c r="FH15" i="2"/>
  <c r="FG15" i="2"/>
  <c r="FF15" i="2"/>
  <c r="FE15" i="2"/>
  <c r="FD15" i="2"/>
  <c r="FC15" i="2"/>
  <c r="FB15" i="2"/>
  <c r="FA15" i="2"/>
  <c r="EZ15" i="2"/>
  <c r="EY15" i="2"/>
  <c r="EX15" i="2"/>
  <c r="EW15" i="2"/>
  <c r="EV15" i="2"/>
  <c r="EU15" i="2"/>
  <c r="ET15" i="2"/>
  <c r="ES15" i="2"/>
  <c r="ER15" i="2"/>
  <c r="EQ15" i="2"/>
  <c r="EP15" i="2"/>
  <c r="EO15" i="2"/>
  <c r="EN15" i="2"/>
  <c r="EM15" i="2"/>
  <c r="EL15" i="2"/>
  <c r="EK15" i="2"/>
  <c r="EJ15" i="2"/>
  <c r="EI15" i="2"/>
  <c r="EH15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L15" i="2"/>
  <c r="K15" i="2"/>
  <c r="J15" i="2"/>
  <c r="I15" i="2"/>
  <c r="H15" i="2"/>
  <c r="G15" i="2"/>
  <c r="F15" i="2"/>
  <c r="E15" i="2"/>
  <c r="D15" i="2"/>
  <c r="B15" i="2"/>
  <c r="II14" i="2"/>
  <c r="IH14" i="2"/>
  <c r="IG14" i="2"/>
  <c r="IF14" i="2"/>
  <c r="IE14" i="2"/>
  <c r="ID14" i="2"/>
  <c r="IC14" i="2"/>
  <c r="IB14" i="2"/>
  <c r="IA14" i="2"/>
  <c r="HZ14" i="2"/>
  <c r="HY14" i="2"/>
  <c r="HX14" i="2"/>
  <c r="HW14" i="2"/>
  <c r="HV14" i="2"/>
  <c r="HU14" i="2"/>
  <c r="HT14" i="2"/>
  <c r="HS14" i="2"/>
  <c r="HR14" i="2"/>
  <c r="HQ14" i="2"/>
  <c r="HP14" i="2"/>
  <c r="HO14" i="2"/>
  <c r="HN14" i="2"/>
  <c r="HM14" i="2"/>
  <c r="HL14" i="2"/>
  <c r="HK14" i="2"/>
  <c r="HJ14" i="2"/>
  <c r="HI14" i="2"/>
  <c r="HH14" i="2"/>
  <c r="HG14" i="2"/>
  <c r="HF14" i="2"/>
  <c r="HE14" i="2"/>
  <c r="HD14" i="2"/>
  <c r="HC14" i="2"/>
  <c r="HB14" i="2"/>
  <c r="HA14" i="2"/>
  <c r="GZ14" i="2"/>
  <c r="GY14" i="2"/>
  <c r="GX14" i="2"/>
  <c r="GW14" i="2"/>
  <c r="GV14" i="2"/>
  <c r="GU14" i="2"/>
  <c r="GT14" i="2"/>
  <c r="GS14" i="2"/>
  <c r="GR14" i="2"/>
  <c r="GQ14" i="2"/>
  <c r="GP14" i="2"/>
  <c r="GO14" i="2"/>
  <c r="GN14" i="2"/>
  <c r="GM14" i="2"/>
  <c r="GL14" i="2"/>
  <c r="GK14" i="2"/>
  <c r="GJ14" i="2"/>
  <c r="GI14" i="2"/>
  <c r="GH14" i="2"/>
  <c r="GG14" i="2"/>
  <c r="GF14" i="2"/>
  <c r="GE14" i="2"/>
  <c r="GD14" i="2"/>
  <c r="GC14" i="2"/>
  <c r="GB14" i="2"/>
  <c r="GA14" i="2"/>
  <c r="FZ14" i="2"/>
  <c r="FY14" i="2"/>
  <c r="FX14" i="2"/>
  <c r="FW14" i="2"/>
  <c r="FV14" i="2"/>
  <c r="FU14" i="2"/>
  <c r="FT14" i="2"/>
  <c r="FS14" i="2"/>
  <c r="FR14" i="2"/>
  <c r="FQ14" i="2"/>
  <c r="FP14" i="2"/>
  <c r="FO14" i="2"/>
  <c r="FN14" i="2"/>
  <c r="FM14" i="2"/>
  <c r="FL14" i="2"/>
  <c r="FK14" i="2"/>
  <c r="FJ14" i="2"/>
  <c r="FI14" i="2"/>
  <c r="FH14" i="2"/>
  <c r="FG14" i="2"/>
  <c r="FF14" i="2"/>
  <c r="FE14" i="2"/>
  <c r="FD14" i="2"/>
  <c r="FC14" i="2"/>
  <c r="FB14" i="2"/>
  <c r="FA14" i="2"/>
  <c r="EZ14" i="2"/>
  <c r="EY14" i="2"/>
  <c r="EX14" i="2"/>
  <c r="EW14" i="2"/>
  <c r="EV14" i="2"/>
  <c r="EU14" i="2"/>
  <c r="ET14" i="2"/>
  <c r="ES14" i="2"/>
  <c r="ER14" i="2"/>
  <c r="EQ14" i="2"/>
  <c r="EP14" i="2"/>
  <c r="EO14" i="2"/>
  <c r="EN14" i="2"/>
  <c r="EM14" i="2"/>
  <c r="EL14" i="2"/>
  <c r="EK14" i="2"/>
  <c r="EJ14" i="2"/>
  <c r="EI14" i="2"/>
  <c r="EH14" i="2"/>
  <c r="EG14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K14" i="2"/>
  <c r="J14" i="2"/>
  <c r="I14" i="2"/>
  <c r="H14" i="2"/>
  <c r="G14" i="2"/>
  <c r="F14" i="2"/>
  <c r="E14" i="2"/>
  <c r="D14" i="2"/>
  <c r="B14" i="2"/>
  <c r="II13" i="2"/>
  <c r="IH13" i="2"/>
  <c r="IG13" i="2"/>
  <c r="IF13" i="2"/>
  <c r="IE13" i="2"/>
  <c r="ID13" i="2"/>
  <c r="IC13" i="2"/>
  <c r="IB13" i="2"/>
  <c r="IA13" i="2"/>
  <c r="HZ13" i="2"/>
  <c r="HY13" i="2"/>
  <c r="HX13" i="2"/>
  <c r="HW13" i="2"/>
  <c r="HV13" i="2"/>
  <c r="HU13" i="2"/>
  <c r="HT13" i="2"/>
  <c r="HS13" i="2"/>
  <c r="HR13" i="2"/>
  <c r="HQ13" i="2"/>
  <c r="HP13" i="2"/>
  <c r="HO13" i="2"/>
  <c r="HN13" i="2"/>
  <c r="HM13" i="2"/>
  <c r="HL13" i="2"/>
  <c r="HK13" i="2"/>
  <c r="HJ13" i="2"/>
  <c r="HI13" i="2"/>
  <c r="HH13" i="2"/>
  <c r="HG13" i="2"/>
  <c r="HF13" i="2"/>
  <c r="HE13" i="2"/>
  <c r="HD13" i="2"/>
  <c r="HC13" i="2"/>
  <c r="HB13" i="2"/>
  <c r="HA13" i="2"/>
  <c r="GZ13" i="2"/>
  <c r="GY13" i="2"/>
  <c r="GX13" i="2"/>
  <c r="GW13" i="2"/>
  <c r="GV13" i="2"/>
  <c r="GU13" i="2"/>
  <c r="GT13" i="2"/>
  <c r="GS13" i="2"/>
  <c r="GR13" i="2"/>
  <c r="GQ13" i="2"/>
  <c r="GP13" i="2"/>
  <c r="GO13" i="2"/>
  <c r="GN13" i="2"/>
  <c r="GM13" i="2"/>
  <c r="GL13" i="2"/>
  <c r="GK13" i="2"/>
  <c r="GJ13" i="2"/>
  <c r="GI13" i="2"/>
  <c r="GH13" i="2"/>
  <c r="GG13" i="2"/>
  <c r="GF13" i="2"/>
  <c r="GE13" i="2"/>
  <c r="GD13" i="2"/>
  <c r="GC13" i="2"/>
  <c r="GB13" i="2"/>
  <c r="GA13" i="2"/>
  <c r="FZ13" i="2"/>
  <c r="FY13" i="2"/>
  <c r="FX13" i="2"/>
  <c r="FW13" i="2"/>
  <c r="FV13" i="2"/>
  <c r="FU13" i="2"/>
  <c r="FT13" i="2"/>
  <c r="FS13" i="2"/>
  <c r="FR13" i="2"/>
  <c r="FQ13" i="2"/>
  <c r="FP13" i="2"/>
  <c r="FO13" i="2"/>
  <c r="FN13" i="2"/>
  <c r="FM13" i="2"/>
  <c r="FL13" i="2"/>
  <c r="FK13" i="2"/>
  <c r="FJ13" i="2"/>
  <c r="FI13" i="2"/>
  <c r="FH13" i="2"/>
  <c r="FG13" i="2"/>
  <c r="FF13" i="2"/>
  <c r="FE13" i="2"/>
  <c r="FD13" i="2"/>
  <c r="FC13" i="2"/>
  <c r="FB13" i="2"/>
  <c r="FA13" i="2"/>
  <c r="EZ13" i="2"/>
  <c r="EY13" i="2"/>
  <c r="EX13" i="2"/>
  <c r="EW13" i="2"/>
  <c r="EV13" i="2"/>
  <c r="EU13" i="2"/>
  <c r="ET13" i="2"/>
  <c r="ES13" i="2"/>
  <c r="ER13" i="2"/>
  <c r="EQ13" i="2"/>
  <c r="EP13" i="2"/>
  <c r="EO13" i="2"/>
  <c r="EN13" i="2"/>
  <c r="EM13" i="2"/>
  <c r="EL13" i="2"/>
  <c r="EK13" i="2"/>
  <c r="EJ13" i="2"/>
  <c r="EI13" i="2"/>
  <c r="EH13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B13" i="2"/>
  <c r="II12" i="2"/>
  <c r="IH12" i="2"/>
  <c r="IG12" i="2"/>
  <c r="IF12" i="2"/>
  <c r="IE12" i="2"/>
  <c r="ID12" i="2"/>
  <c r="IC12" i="2"/>
  <c r="IB12" i="2"/>
  <c r="IA12" i="2"/>
  <c r="HZ12" i="2"/>
  <c r="HY12" i="2"/>
  <c r="HX12" i="2"/>
  <c r="HW12" i="2"/>
  <c r="HV12" i="2"/>
  <c r="HU12" i="2"/>
  <c r="HT12" i="2"/>
  <c r="HS12" i="2"/>
  <c r="HR12" i="2"/>
  <c r="HQ12" i="2"/>
  <c r="HP12" i="2"/>
  <c r="HO12" i="2"/>
  <c r="HN12" i="2"/>
  <c r="HM12" i="2"/>
  <c r="HL12" i="2"/>
  <c r="HK12" i="2"/>
  <c r="HJ12" i="2"/>
  <c r="HI12" i="2"/>
  <c r="HH12" i="2"/>
  <c r="HG12" i="2"/>
  <c r="HF12" i="2"/>
  <c r="HE12" i="2"/>
  <c r="HD12" i="2"/>
  <c r="HC12" i="2"/>
  <c r="HB12" i="2"/>
  <c r="HA12" i="2"/>
  <c r="GZ12" i="2"/>
  <c r="GY12" i="2"/>
  <c r="GX12" i="2"/>
  <c r="GW12" i="2"/>
  <c r="GV12" i="2"/>
  <c r="GU12" i="2"/>
  <c r="GT12" i="2"/>
  <c r="GS12" i="2"/>
  <c r="GR12" i="2"/>
  <c r="GQ12" i="2"/>
  <c r="GP12" i="2"/>
  <c r="GO12" i="2"/>
  <c r="GN12" i="2"/>
  <c r="GM12" i="2"/>
  <c r="GL12" i="2"/>
  <c r="GK12" i="2"/>
  <c r="GJ12" i="2"/>
  <c r="GI12" i="2"/>
  <c r="GH12" i="2"/>
  <c r="GG12" i="2"/>
  <c r="GF12" i="2"/>
  <c r="GE12" i="2"/>
  <c r="GD12" i="2"/>
  <c r="GC12" i="2"/>
  <c r="GB12" i="2"/>
  <c r="GA12" i="2"/>
  <c r="FZ12" i="2"/>
  <c r="FY12" i="2"/>
  <c r="FX12" i="2"/>
  <c r="FW12" i="2"/>
  <c r="FV12" i="2"/>
  <c r="FU12" i="2"/>
  <c r="FT12" i="2"/>
  <c r="FS12" i="2"/>
  <c r="FR12" i="2"/>
  <c r="FQ12" i="2"/>
  <c r="FP12" i="2"/>
  <c r="FO12" i="2"/>
  <c r="FN12" i="2"/>
  <c r="FM12" i="2"/>
  <c r="FL12" i="2"/>
  <c r="FK12" i="2"/>
  <c r="FJ12" i="2"/>
  <c r="FI12" i="2"/>
  <c r="FH12" i="2"/>
  <c r="FG12" i="2"/>
  <c r="FF12" i="2"/>
  <c r="FE12" i="2"/>
  <c r="FD12" i="2"/>
  <c r="FC12" i="2"/>
  <c r="FB12" i="2"/>
  <c r="FA12" i="2"/>
  <c r="EZ12" i="2"/>
  <c r="EY12" i="2"/>
  <c r="EX12" i="2"/>
  <c r="EW12" i="2"/>
  <c r="EV12" i="2"/>
  <c r="EU12" i="2"/>
  <c r="ET12" i="2"/>
  <c r="ES12" i="2"/>
  <c r="ER12" i="2"/>
  <c r="EQ12" i="2"/>
  <c r="EP12" i="2"/>
  <c r="EO12" i="2"/>
  <c r="EN12" i="2"/>
  <c r="EM12" i="2"/>
  <c r="EL12" i="2"/>
  <c r="EK12" i="2"/>
  <c r="EJ12" i="2"/>
  <c r="EI12" i="2"/>
  <c r="EH12" i="2"/>
  <c r="EG12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E12" i="2"/>
  <c r="D12" i="2"/>
  <c r="II11" i="2"/>
  <c r="IH11" i="2"/>
  <c r="IG11" i="2"/>
  <c r="IF11" i="2"/>
  <c r="IE11" i="2"/>
  <c r="ID11" i="2"/>
  <c r="IC11" i="2"/>
  <c r="IB11" i="2"/>
  <c r="IA11" i="2"/>
  <c r="HZ11" i="2"/>
  <c r="HY11" i="2"/>
  <c r="HX11" i="2"/>
  <c r="HW11" i="2"/>
  <c r="HV11" i="2"/>
  <c r="HU11" i="2"/>
  <c r="HT11" i="2"/>
  <c r="HS11" i="2"/>
  <c r="HR11" i="2"/>
  <c r="HQ11" i="2"/>
  <c r="HP11" i="2"/>
  <c r="HO11" i="2"/>
  <c r="HN11" i="2"/>
  <c r="HM11" i="2"/>
  <c r="HL11" i="2"/>
  <c r="HK11" i="2"/>
  <c r="HJ11" i="2"/>
  <c r="HI11" i="2"/>
  <c r="HH11" i="2"/>
  <c r="HG11" i="2"/>
  <c r="HF11" i="2"/>
  <c r="HE11" i="2"/>
  <c r="HD11" i="2"/>
  <c r="HC11" i="2"/>
  <c r="HB11" i="2"/>
  <c r="HA11" i="2"/>
  <c r="GZ11" i="2"/>
  <c r="GY11" i="2"/>
  <c r="GX11" i="2"/>
  <c r="GW11" i="2"/>
  <c r="GV11" i="2"/>
  <c r="GU11" i="2"/>
  <c r="GT11" i="2"/>
  <c r="GS11" i="2"/>
  <c r="GR11" i="2"/>
  <c r="GQ11" i="2"/>
  <c r="GP11" i="2"/>
  <c r="GO11" i="2"/>
  <c r="GN11" i="2"/>
  <c r="GM11" i="2"/>
  <c r="GL11" i="2"/>
  <c r="GK11" i="2"/>
  <c r="GJ11" i="2"/>
  <c r="GI11" i="2"/>
  <c r="GH11" i="2"/>
  <c r="GG11" i="2"/>
  <c r="GF11" i="2"/>
  <c r="GE11" i="2"/>
  <c r="GD11" i="2"/>
  <c r="GC11" i="2"/>
  <c r="GB11" i="2"/>
  <c r="GA11" i="2"/>
  <c r="FZ11" i="2"/>
  <c r="FY11" i="2"/>
  <c r="FX11" i="2"/>
  <c r="FW11" i="2"/>
  <c r="FV11" i="2"/>
  <c r="FU11" i="2"/>
  <c r="FT11" i="2"/>
  <c r="FS11" i="2"/>
  <c r="FR11" i="2"/>
  <c r="FQ11" i="2"/>
  <c r="FP11" i="2"/>
  <c r="FO11" i="2"/>
  <c r="FN11" i="2"/>
  <c r="FM11" i="2"/>
  <c r="FL11" i="2"/>
  <c r="FK11" i="2"/>
  <c r="FJ11" i="2"/>
  <c r="FI11" i="2"/>
  <c r="FH11" i="2"/>
  <c r="FG11" i="2"/>
  <c r="FF11" i="2"/>
  <c r="FE11" i="2"/>
  <c r="FD11" i="2"/>
  <c r="FC11" i="2"/>
  <c r="FB11" i="2"/>
  <c r="FA11" i="2"/>
  <c r="EZ11" i="2"/>
  <c r="EY11" i="2"/>
  <c r="EX11" i="2"/>
  <c r="EW11" i="2"/>
  <c r="EV11" i="2"/>
  <c r="EU11" i="2"/>
  <c r="ET11" i="2"/>
  <c r="ES11" i="2"/>
  <c r="ER11" i="2"/>
  <c r="EQ11" i="2"/>
  <c r="EP11" i="2"/>
  <c r="EO11" i="2"/>
  <c r="EN11" i="2"/>
  <c r="EM11" i="2"/>
  <c r="EL11" i="2"/>
  <c r="EK11" i="2"/>
  <c r="EJ11" i="2"/>
  <c r="EI11" i="2"/>
  <c r="EH11" i="2"/>
  <c r="EG11" i="2"/>
  <c r="EF11" i="2"/>
  <c r="EE11" i="2"/>
  <c r="ED11" i="2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B11" i="2"/>
  <c r="II10" i="2"/>
  <c r="IH10" i="2"/>
  <c r="IG10" i="2"/>
  <c r="IF10" i="2"/>
  <c r="IE10" i="2"/>
  <c r="ID10" i="2"/>
  <c r="IC10" i="2"/>
  <c r="IB10" i="2"/>
  <c r="IA10" i="2"/>
  <c r="HZ10" i="2"/>
  <c r="HY10" i="2"/>
  <c r="HX10" i="2"/>
  <c r="HW10" i="2"/>
  <c r="HV10" i="2"/>
  <c r="HU10" i="2"/>
  <c r="HT10" i="2"/>
  <c r="HS10" i="2"/>
  <c r="HR10" i="2"/>
  <c r="HQ10" i="2"/>
  <c r="HP10" i="2"/>
  <c r="HO10" i="2"/>
  <c r="HN10" i="2"/>
  <c r="HM10" i="2"/>
  <c r="HL10" i="2"/>
  <c r="HK10" i="2"/>
  <c r="HJ10" i="2"/>
  <c r="HI10" i="2"/>
  <c r="HH10" i="2"/>
  <c r="HG10" i="2"/>
  <c r="HF10" i="2"/>
  <c r="HE10" i="2"/>
  <c r="HD10" i="2"/>
  <c r="HC10" i="2"/>
  <c r="HB10" i="2"/>
  <c r="HA10" i="2"/>
  <c r="GZ10" i="2"/>
  <c r="GY10" i="2"/>
  <c r="GX10" i="2"/>
  <c r="GW10" i="2"/>
  <c r="GV10" i="2"/>
  <c r="GU10" i="2"/>
  <c r="GT10" i="2"/>
  <c r="GS10" i="2"/>
  <c r="GR10" i="2"/>
  <c r="GQ10" i="2"/>
  <c r="GP10" i="2"/>
  <c r="GO10" i="2"/>
  <c r="GN10" i="2"/>
  <c r="GM10" i="2"/>
  <c r="GL10" i="2"/>
  <c r="GK10" i="2"/>
  <c r="GJ10" i="2"/>
  <c r="GI10" i="2"/>
  <c r="GH10" i="2"/>
  <c r="GG10" i="2"/>
  <c r="GF10" i="2"/>
  <c r="GE10" i="2"/>
  <c r="GD10" i="2"/>
  <c r="GC10" i="2"/>
  <c r="GB10" i="2"/>
  <c r="GA10" i="2"/>
  <c r="FZ10" i="2"/>
  <c r="FY10" i="2"/>
  <c r="FX10" i="2"/>
  <c r="FW10" i="2"/>
  <c r="FV10" i="2"/>
  <c r="FU10" i="2"/>
  <c r="FT10" i="2"/>
  <c r="FS10" i="2"/>
  <c r="FR10" i="2"/>
  <c r="FQ10" i="2"/>
  <c r="FP10" i="2"/>
  <c r="FO10" i="2"/>
  <c r="FN10" i="2"/>
  <c r="FM10" i="2"/>
  <c r="FL10" i="2"/>
  <c r="FK10" i="2"/>
  <c r="FJ10" i="2"/>
  <c r="FI10" i="2"/>
  <c r="FH10" i="2"/>
  <c r="FG10" i="2"/>
  <c r="FF10" i="2"/>
  <c r="FE10" i="2"/>
  <c r="FD10" i="2"/>
  <c r="FC10" i="2"/>
  <c r="FB10" i="2"/>
  <c r="FA10" i="2"/>
  <c r="EZ10" i="2"/>
  <c r="EY10" i="2"/>
  <c r="EX10" i="2"/>
  <c r="EW10" i="2"/>
  <c r="EV10" i="2"/>
  <c r="EU10" i="2"/>
  <c r="ET10" i="2"/>
  <c r="ES10" i="2"/>
  <c r="ER10" i="2"/>
  <c r="EQ10" i="2"/>
  <c r="EP10" i="2"/>
  <c r="EO10" i="2"/>
  <c r="EN10" i="2"/>
  <c r="EM10" i="2"/>
  <c r="EL10" i="2"/>
  <c r="EK10" i="2"/>
  <c r="EJ10" i="2"/>
  <c r="EI10" i="2"/>
  <c r="EH10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B10" i="2"/>
  <c r="II9" i="2"/>
  <c r="IH9" i="2"/>
  <c r="IG9" i="2"/>
  <c r="IF9" i="2"/>
  <c r="IE9" i="2"/>
  <c r="ID9" i="2"/>
  <c r="IC9" i="2"/>
  <c r="IB9" i="2"/>
  <c r="IA9" i="2"/>
  <c r="HZ9" i="2"/>
  <c r="HY9" i="2"/>
  <c r="HX9" i="2"/>
  <c r="HW9" i="2"/>
  <c r="HV9" i="2"/>
  <c r="HU9" i="2"/>
  <c r="HT9" i="2"/>
  <c r="HS9" i="2"/>
  <c r="HR9" i="2"/>
  <c r="HQ9" i="2"/>
  <c r="HP9" i="2"/>
  <c r="HO9" i="2"/>
  <c r="HN9" i="2"/>
  <c r="HM9" i="2"/>
  <c r="HL9" i="2"/>
  <c r="HK9" i="2"/>
  <c r="HJ9" i="2"/>
  <c r="HI9" i="2"/>
  <c r="HH9" i="2"/>
  <c r="HG9" i="2"/>
  <c r="HF9" i="2"/>
  <c r="HE9" i="2"/>
  <c r="HD9" i="2"/>
  <c r="HC9" i="2"/>
  <c r="HB9" i="2"/>
  <c r="HA9" i="2"/>
  <c r="GZ9" i="2"/>
  <c r="GY9" i="2"/>
  <c r="GX9" i="2"/>
  <c r="GW9" i="2"/>
  <c r="GV9" i="2"/>
  <c r="GU9" i="2"/>
  <c r="GT9" i="2"/>
  <c r="GS9" i="2"/>
  <c r="GR9" i="2"/>
  <c r="GQ9" i="2"/>
  <c r="GP9" i="2"/>
  <c r="GO9" i="2"/>
  <c r="GN9" i="2"/>
  <c r="GM9" i="2"/>
  <c r="GL9" i="2"/>
  <c r="GK9" i="2"/>
  <c r="GJ9" i="2"/>
  <c r="GI9" i="2"/>
  <c r="GH9" i="2"/>
  <c r="GG9" i="2"/>
  <c r="GF9" i="2"/>
  <c r="GE9" i="2"/>
  <c r="GD9" i="2"/>
  <c r="GC9" i="2"/>
  <c r="GB9" i="2"/>
  <c r="GA9" i="2"/>
  <c r="FZ9" i="2"/>
  <c r="FY9" i="2"/>
  <c r="FX9" i="2"/>
  <c r="FW9" i="2"/>
  <c r="FV9" i="2"/>
  <c r="FU9" i="2"/>
  <c r="FT9" i="2"/>
  <c r="FS9" i="2"/>
  <c r="FR9" i="2"/>
  <c r="FQ9" i="2"/>
  <c r="FP9" i="2"/>
  <c r="FO9" i="2"/>
  <c r="FN9" i="2"/>
  <c r="FM9" i="2"/>
  <c r="FL9" i="2"/>
  <c r="FK9" i="2"/>
  <c r="FJ9" i="2"/>
  <c r="FI9" i="2"/>
  <c r="FH9" i="2"/>
  <c r="FG9" i="2"/>
  <c r="FF9" i="2"/>
  <c r="FE9" i="2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EP9" i="2"/>
  <c r="EO9" i="2"/>
  <c r="EN9" i="2"/>
  <c r="EM9" i="2"/>
  <c r="EL9" i="2"/>
  <c r="EK9" i="2"/>
  <c r="EJ9" i="2"/>
  <c r="EI9" i="2"/>
  <c r="EH9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B9" i="2"/>
  <c r="II8" i="2"/>
  <c r="IH8" i="2"/>
  <c r="IG8" i="2"/>
  <c r="IF8" i="2"/>
  <c r="IE8" i="2"/>
  <c r="ID8" i="2"/>
  <c r="IC8" i="2"/>
  <c r="IB8" i="2"/>
  <c r="IA8" i="2"/>
  <c r="HZ8" i="2"/>
  <c r="HY8" i="2"/>
  <c r="HX8" i="2"/>
  <c r="HW8" i="2"/>
  <c r="HV8" i="2"/>
  <c r="HU8" i="2"/>
  <c r="HT8" i="2"/>
  <c r="HS8" i="2"/>
  <c r="HR8" i="2"/>
  <c r="HQ8" i="2"/>
  <c r="HP8" i="2"/>
  <c r="HO8" i="2"/>
  <c r="HN8" i="2"/>
  <c r="HM8" i="2"/>
  <c r="HL8" i="2"/>
  <c r="HK8" i="2"/>
  <c r="HJ8" i="2"/>
  <c r="HI8" i="2"/>
  <c r="HH8" i="2"/>
  <c r="HG8" i="2"/>
  <c r="HF8" i="2"/>
  <c r="HE8" i="2"/>
  <c r="HD8" i="2"/>
  <c r="HC8" i="2"/>
  <c r="HB8" i="2"/>
  <c r="HA8" i="2"/>
  <c r="GZ8" i="2"/>
  <c r="GY8" i="2"/>
  <c r="GX8" i="2"/>
  <c r="GW8" i="2"/>
  <c r="GV8" i="2"/>
  <c r="GU8" i="2"/>
  <c r="GT8" i="2"/>
  <c r="GS8" i="2"/>
  <c r="GR8" i="2"/>
  <c r="GQ8" i="2"/>
  <c r="GP8" i="2"/>
  <c r="GO8" i="2"/>
  <c r="GN8" i="2"/>
  <c r="GM8" i="2"/>
  <c r="GL8" i="2"/>
  <c r="GK8" i="2"/>
  <c r="GJ8" i="2"/>
  <c r="GI8" i="2"/>
  <c r="GH8" i="2"/>
  <c r="GG8" i="2"/>
  <c r="GF8" i="2"/>
  <c r="GE8" i="2"/>
  <c r="GD8" i="2"/>
  <c r="GC8" i="2"/>
  <c r="GB8" i="2"/>
  <c r="GA8" i="2"/>
  <c r="FZ8" i="2"/>
  <c r="FY8" i="2"/>
  <c r="FX8" i="2"/>
  <c r="FW8" i="2"/>
  <c r="FV8" i="2"/>
  <c r="FU8" i="2"/>
  <c r="FT8" i="2"/>
  <c r="FS8" i="2"/>
  <c r="FR8" i="2"/>
  <c r="FQ8" i="2"/>
  <c r="FP8" i="2"/>
  <c r="FO8" i="2"/>
  <c r="FN8" i="2"/>
  <c r="FM8" i="2"/>
  <c r="FL8" i="2"/>
  <c r="FK8" i="2"/>
  <c r="FJ8" i="2"/>
  <c r="FI8" i="2"/>
  <c r="FH8" i="2"/>
  <c r="FG8" i="2"/>
  <c r="FF8" i="2"/>
  <c r="FE8" i="2"/>
  <c r="FD8" i="2"/>
  <c r="FC8" i="2"/>
  <c r="FB8" i="2"/>
  <c r="FA8" i="2"/>
  <c r="EZ8" i="2"/>
  <c r="EY8" i="2"/>
  <c r="EX8" i="2"/>
  <c r="EW8" i="2"/>
  <c r="EV8" i="2"/>
  <c r="EU8" i="2"/>
  <c r="ET8" i="2"/>
  <c r="ES8" i="2"/>
  <c r="ER8" i="2"/>
  <c r="EQ8" i="2"/>
  <c r="EP8" i="2"/>
  <c r="EO8" i="2"/>
  <c r="EN8" i="2"/>
  <c r="EM8" i="2"/>
  <c r="EL8" i="2"/>
  <c r="EK8" i="2"/>
  <c r="EJ8" i="2"/>
  <c r="EI8" i="2"/>
  <c r="EH8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B8" i="2"/>
  <c r="II7" i="2"/>
  <c r="IH7" i="2"/>
  <c r="IG7" i="2"/>
  <c r="IF7" i="2"/>
  <c r="IE7" i="2"/>
  <c r="ID7" i="2"/>
  <c r="IC7" i="2"/>
  <c r="IB7" i="2"/>
  <c r="IA7" i="2"/>
  <c r="HZ7" i="2"/>
  <c r="HY7" i="2"/>
  <c r="HX7" i="2"/>
  <c r="HW7" i="2"/>
  <c r="HV7" i="2"/>
  <c r="HU7" i="2"/>
  <c r="HT7" i="2"/>
  <c r="HS7" i="2"/>
  <c r="HR7" i="2"/>
  <c r="HQ7" i="2"/>
  <c r="HP7" i="2"/>
  <c r="HO7" i="2"/>
  <c r="HN7" i="2"/>
  <c r="HM7" i="2"/>
  <c r="HL7" i="2"/>
  <c r="HK7" i="2"/>
  <c r="HJ7" i="2"/>
  <c r="HI7" i="2"/>
  <c r="HH7" i="2"/>
  <c r="HG7" i="2"/>
  <c r="HF7" i="2"/>
  <c r="HE7" i="2"/>
  <c r="HD7" i="2"/>
  <c r="HC7" i="2"/>
  <c r="HB7" i="2"/>
  <c r="HA7" i="2"/>
  <c r="GZ7" i="2"/>
  <c r="GY7" i="2"/>
  <c r="GX7" i="2"/>
  <c r="GW7" i="2"/>
  <c r="GV7" i="2"/>
  <c r="GU7" i="2"/>
  <c r="GT7" i="2"/>
  <c r="GS7" i="2"/>
  <c r="GR7" i="2"/>
  <c r="GQ7" i="2"/>
  <c r="GP7" i="2"/>
  <c r="GO7" i="2"/>
  <c r="GN7" i="2"/>
  <c r="GM7" i="2"/>
  <c r="GL7" i="2"/>
  <c r="GK7" i="2"/>
  <c r="GJ7" i="2"/>
  <c r="GI7" i="2"/>
  <c r="GH7" i="2"/>
  <c r="GG7" i="2"/>
  <c r="GF7" i="2"/>
  <c r="GE7" i="2"/>
  <c r="GD7" i="2"/>
  <c r="GC7" i="2"/>
  <c r="GB7" i="2"/>
  <c r="GA7" i="2"/>
  <c r="FZ7" i="2"/>
  <c r="FY7" i="2"/>
  <c r="FX7" i="2"/>
  <c r="FW7" i="2"/>
  <c r="FV7" i="2"/>
  <c r="FU7" i="2"/>
  <c r="FT7" i="2"/>
  <c r="FS7" i="2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B7" i="2"/>
  <c r="II6" i="2"/>
  <c r="II35" i="2" s="1"/>
  <c r="IH6" i="2"/>
  <c r="IH35" i="2" s="1"/>
  <c r="IG6" i="2"/>
  <c r="IG35" i="2" s="1"/>
  <c r="IF6" i="2"/>
  <c r="IF35" i="2" s="1"/>
  <c r="IE6" i="2"/>
  <c r="IE35" i="2" s="1"/>
  <c r="ID6" i="2"/>
  <c r="ID35" i="2" s="1"/>
  <c r="IC6" i="2"/>
  <c r="IC35" i="2" s="1"/>
  <c r="IB6" i="2"/>
  <c r="IB35" i="2" s="1"/>
  <c r="IA6" i="2"/>
  <c r="IA35" i="2" s="1"/>
  <c r="HZ6" i="2"/>
  <c r="HZ35" i="2" s="1"/>
  <c r="HY6" i="2"/>
  <c r="HY35" i="2" s="1"/>
  <c r="HX6" i="2"/>
  <c r="HX35" i="2" s="1"/>
  <c r="HW6" i="2"/>
  <c r="HW35" i="2" s="1"/>
  <c r="HV6" i="2"/>
  <c r="HV35" i="2" s="1"/>
  <c r="HU6" i="2"/>
  <c r="HU35" i="2" s="1"/>
  <c r="HT6" i="2"/>
  <c r="HT35" i="2" s="1"/>
  <c r="HS6" i="2"/>
  <c r="HS35" i="2" s="1"/>
  <c r="HR6" i="2"/>
  <c r="HR35" i="2" s="1"/>
  <c r="HQ6" i="2"/>
  <c r="HQ35" i="2" s="1"/>
  <c r="HP6" i="2"/>
  <c r="HP35" i="2" s="1"/>
  <c r="HO6" i="2"/>
  <c r="HO35" i="2" s="1"/>
  <c r="HN6" i="2"/>
  <c r="HN35" i="2" s="1"/>
  <c r="HM6" i="2"/>
  <c r="HM35" i="2" s="1"/>
  <c r="HL6" i="2"/>
  <c r="HL35" i="2" s="1"/>
  <c r="HK6" i="2"/>
  <c r="HK35" i="2" s="1"/>
  <c r="HJ6" i="2"/>
  <c r="HJ35" i="2" s="1"/>
  <c r="HI6" i="2"/>
  <c r="HI35" i="2" s="1"/>
  <c r="HH6" i="2"/>
  <c r="HH35" i="2" s="1"/>
  <c r="HG6" i="2"/>
  <c r="HG35" i="2" s="1"/>
  <c r="HF6" i="2"/>
  <c r="HF35" i="2" s="1"/>
  <c r="HE6" i="2"/>
  <c r="HE35" i="2" s="1"/>
  <c r="HD6" i="2"/>
  <c r="HD35" i="2" s="1"/>
  <c r="HC6" i="2"/>
  <c r="HC35" i="2" s="1"/>
  <c r="HB6" i="2"/>
  <c r="HB35" i="2" s="1"/>
  <c r="HA6" i="2"/>
  <c r="HA35" i="2" s="1"/>
  <c r="GZ6" i="2"/>
  <c r="GZ35" i="2" s="1"/>
  <c r="GY6" i="2"/>
  <c r="GY35" i="2" s="1"/>
  <c r="GX6" i="2"/>
  <c r="GX35" i="2" s="1"/>
  <c r="GW6" i="2"/>
  <c r="GW35" i="2" s="1"/>
  <c r="GV6" i="2"/>
  <c r="GV35" i="2" s="1"/>
  <c r="GU6" i="2"/>
  <c r="GU35" i="2" s="1"/>
  <c r="GT6" i="2"/>
  <c r="GT35" i="2" s="1"/>
  <c r="GS6" i="2"/>
  <c r="GS35" i="2" s="1"/>
  <c r="GR6" i="2"/>
  <c r="GR35" i="2" s="1"/>
  <c r="GQ6" i="2"/>
  <c r="GQ35" i="2" s="1"/>
  <c r="GP6" i="2"/>
  <c r="GP35" i="2" s="1"/>
  <c r="GO6" i="2"/>
  <c r="GO35" i="2" s="1"/>
  <c r="GN6" i="2"/>
  <c r="GN35" i="2" s="1"/>
  <c r="GM6" i="2"/>
  <c r="GM35" i="2" s="1"/>
  <c r="GL6" i="2"/>
  <c r="GL35" i="2" s="1"/>
  <c r="GK6" i="2"/>
  <c r="GK35" i="2" s="1"/>
  <c r="GJ6" i="2"/>
  <c r="GJ35" i="2" s="1"/>
  <c r="GI6" i="2"/>
  <c r="GI35" i="2" s="1"/>
  <c r="GH6" i="2"/>
  <c r="GH35" i="2" s="1"/>
  <c r="GG6" i="2"/>
  <c r="GG35" i="2" s="1"/>
  <c r="GF6" i="2"/>
  <c r="GF35" i="2" s="1"/>
  <c r="GE6" i="2"/>
  <c r="GE35" i="2" s="1"/>
  <c r="GD6" i="2"/>
  <c r="GD35" i="2" s="1"/>
  <c r="GC6" i="2"/>
  <c r="GC35" i="2" s="1"/>
  <c r="GB6" i="2"/>
  <c r="GB35" i="2" s="1"/>
  <c r="GA6" i="2"/>
  <c r="GA35" i="2" s="1"/>
  <c r="FZ6" i="2"/>
  <c r="FZ35" i="2" s="1"/>
  <c r="FY6" i="2"/>
  <c r="FY35" i="2" s="1"/>
  <c r="FX6" i="2"/>
  <c r="FX35" i="2" s="1"/>
  <c r="FW6" i="2"/>
  <c r="FW35" i="2" s="1"/>
  <c r="FV6" i="2"/>
  <c r="FV35" i="2" s="1"/>
  <c r="FU6" i="2"/>
  <c r="FU35" i="2" s="1"/>
  <c r="FT6" i="2"/>
  <c r="FT35" i="2" s="1"/>
  <c r="FS6" i="2"/>
  <c r="FS35" i="2" s="1"/>
  <c r="FR6" i="2"/>
  <c r="FR35" i="2" s="1"/>
  <c r="FQ6" i="2"/>
  <c r="FQ35" i="2" s="1"/>
  <c r="FP6" i="2"/>
  <c r="FP35" i="2" s="1"/>
  <c r="FO6" i="2"/>
  <c r="FO35" i="2" s="1"/>
  <c r="FN6" i="2"/>
  <c r="FN35" i="2" s="1"/>
  <c r="FM6" i="2"/>
  <c r="FM35" i="2" s="1"/>
  <c r="FL6" i="2"/>
  <c r="FL35" i="2" s="1"/>
  <c r="FK6" i="2"/>
  <c r="FK35" i="2" s="1"/>
  <c r="FJ6" i="2"/>
  <c r="FJ35" i="2" s="1"/>
  <c r="FI6" i="2"/>
  <c r="FI35" i="2" s="1"/>
  <c r="FH6" i="2"/>
  <c r="FH35" i="2" s="1"/>
  <c r="FG6" i="2"/>
  <c r="FG35" i="2" s="1"/>
  <c r="FF6" i="2"/>
  <c r="FF35" i="2" s="1"/>
  <c r="FE6" i="2"/>
  <c r="FE35" i="2" s="1"/>
  <c r="FD6" i="2"/>
  <c r="FD35" i="2" s="1"/>
  <c r="FC6" i="2"/>
  <c r="FC35" i="2" s="1"/>
  <c r="FB6" i="2"/>
  <c r="FB35" i="2" s="1"/>
  <c r="FA6" i="2"/>
  <c r="FA35" i="2" s="1"/>
  <c r="EZ6" i="2"/>
  <c r="EZ35" i="2" s="1"/>
  <c r="EY6" i="2"/>
  <c r="EY35" i="2" s="1"/>
  <c r="EX6" i="2"/>
  <c r="EX35" i="2" s="1"/>
  <c r="EW6" i="2"/>
  <c r="EW35" i="2" s="1"/>
  <c r="EV6" i="2"/>
  <c r="EV35" i="2" s="1"/>
  <c r="EU6" i="2"/>
  <c r="EU35" i="2" s="1"/>
  <c r="ET6" i="2"/>
  <c r="ET35" i="2" s="1"/>
  <c r="ES6" i="2"/>
  <c r="ES35" i="2" s="1"/>
  <c r="ER6" i="2"/>
  <c r="ER35" i="2" s="1"/>
  <c r="EQ6" i="2"/>
  <c r="EQ35" i="2" s="1"/>
  <c r="EP6" i="2"/>
  <c r="EP35" i="2" s="1"/>
  <c r="EO6" i="2"/>
  <c r="EO35" i="2" s="1"/>
  <c r="EN6" i="2"/>
  <c r="EN35" i="2" s="1"/>
  <c r="EM6" i="2"/>
  <c r="EM35" i="2" s="1"/>
  <c r="EL6" i="2"/>
  <c r="EL35" i="2" s="1"/>
  <c r="EK6" i="2"/>
  <c r="EK35" i="2" s="1"/>
  <c r="EJ6" i="2"/>
  <c r="EJ35" i="2" s="1"/>
  <c r="EI6" i="2"/>
  <c r="EI35" i="2" s="1"/>
  <c r="EH6" i="2"/>
  <c r="EH35" i="2" s="1"/>
  <c r="EG6" i="2"/>
  <c r="EG35" i="2" s="1"/>
  <c r="EF6" i="2"/>
  <c r="EF35" i="2" s="1"/>
  <c r="EE6" i="2"/>
  <c r="EE35" i="2" s="1"/>
  <c r="ED6" i="2"/>
  <c r="ED35" i="2" s="1"/>
  <c r="EC6" i="2"/>
  <c r="EC35" i="2" s="1"/>
  <c r="EB6" i="2"/>
  <c r="EB35" i="2" s="1"/>
  <c r="EA6" i="2"/>
  <c r="EA35" i="2" s="1"/>
  <c r="DZ6" i="2"/>
  <c r="DZ35" i="2" s="1"/>
  <c r="DY6" i="2"/>
  <c r="DY35" i="2" s="1"/>
  <c r="DX6" i="2"/>
  <c r="DX35" i="2" s="1"/>
  <c r="DW6" i="2"/>
  <c r="DW35" i="2" s="1"/>
  <c r="DV6" i="2"/>
  <c r="DV35" i="2" s="1"/>
  <c r="DU6" i="2"/>
  <c r="DU35" i="2" s="1"/>
  <c r="DT6" i="2"/>
  <c r="DT35" i="2" s="1"/>
  <c r="DS6" i="2"/>
  <c r="DS35" i="2" s="1"/>
  <c r="DR6" i="2"/>
  <c r="DR35" i="2" s="1"/>
  <c r="DQ6" i="2"/>
  <c r="DQ35" i="2" s="1"/>
  <c r="DP6" i="2"/>
  <c r="DP35" i="2" s="1"/>
  <c r="DO6" i="2"/>
  <c r="DO35" i="2" s="1"/>
  <c r="DN6" i="2"/>
  <c r="DN35" i="2" s="1"/>
  <c r="DM6" i="2"/>
  <c r="DM35" i="2" s="1"/>
  <c r="DL6" i="2"/>
  <c r="DL35" i="2" s="1"/>
  <c r="DK6" i="2"/>
  <c r="DK35" i="2" s="1"/>
  <c r="DJ6" i="2"/>
  <c r="DJ35" i="2" s="1"/>
  <c r="DI6" i="2"/>
  <c r="DI35" i="2" s="1"/>
  <c r="DH6" i="2"/>
  <c r="DH35" i="2" s="1"/>
  <c r="DG6" i="2"/>
  <c r="DG35" i="2" s="1"/>
  <c r="DF6" i="2"/>
  <c r="DF35" i="2" s="1"/>
  <c r="DE6" i="2"/>
  <c r="DE35" i="2" s="1"/>
  <c r="DD6" i="2"/>
  <c r="DD35" i="2" s="1"/>
  <c r="DC6" i="2"/>
  <c r="DC35" i="2" s="1"/>
  <c r="DB6" i="2"/>
  <c r="DB35" i="2" s="1"/>
  <c r="DA6" i="2"/>
  <c r="DA35" i="2" s="1"/>
  <c r="CZ6" i="2"/>
  <c r="CZ35" i="2" s="1"/>
  <c r="CY6" i="2"/>
  <c r="CY35" i="2" s="1"/>
  <c r="CX6" i="2"/>
  <c r="CX35" i="2" s="1"/>
  <c r="CW6" i="2"/>
  <c r="CW35" i="2" s="1"/>
  <c r="CV6" i="2"/>
  <c r="CV35" i="2" s="1"/>
  <c r="CU6" i="2"/>
  <c r="CU35" i="2" s="1"/>
  <c r="CT6" i="2"/>
  <c r="CT35" i="2" s="1"/>
  <c r="CS6" i="2"/>
  <c r="CS35" i="2" s="1"/>
  <c r="CR6" i="2"/>
  <c r="CR35" i="2" s="1"/>
  <c r="CQ6" i="2"/>
  <c r="CQ35" i="2" s="1"/>
  <c r="CP6" i="2"/>
  <c r="CP35" i="2" s="1"/>
  <c r="CO6" i="2"/>
  <c r="CO35" i="2" s="1"/>
  <c r="CN6" i="2"/>
  <c r="CN35" i="2" s="1"/>
  <c r="CM6" i="2"/>
  <c r="CM35" i="2" s="1"/>
  <c r="CL6" i="2"/>
  <c r="CL35" i="2" s="1"/>
  <c r="CK6" i="2"/>
  <c r="CK35" i="2" s="1"/>
  <c r="CJ6" i="2"/>
  <c r="CJ35" i="2" s="1"/>
  <c r="CI6" i="2"/>
  <c r="CI35" i="2" s="1"/>
  <c r="CH6" i="2"/>
  <c r="CH35" i="2" s="1"/>
  <c r="CG6" i="2"/>
  <c r="CG35" i="2" s="1"/>
  <c r="CF6" i="2"/>
  <c r="CF35" i="2" s="1"/>
  <c r="CE6" i="2"/>
  <c r="CE35" i="2" s="1"/>
  <c r="CD6" i="2"/>
  <c r="CD35" i="2" s="1"/>
  <c r="CC6" i="2"/>
  <c r="CC35" i="2" s="1"/>
  <c r="CB6" i="2"/>
  <c r="CB35" i="2" s="1"/>
  <c r="CA6" i="2"/>
  <c r="CA35" i="2" s="1"/>
  <c r="BZ6" i="2"/>
  <c r="BZ35" i="2" s="1"/>
  <c r="BY6" i="2"/>
  <c r="BY35" i="2" s="1"/>
  <c r="BX6" i="2"/>
  <c r="BX35" i="2" s="1"/>
  <c r="BW6" i="2"/>
  <c r="BW35" i="2" s="1"/>
  <c r="BV6" i="2"/>
  <c r="BV35" i="2" s="1"/>
  <c r="BU6" i="2"/>
  <c r="BU35" i="2" s="1"/>
  <c r="BT6" i="2"/>
  <c r="BT35" i="2" s="1"/>
  <c r="BS6" i="2"/>
  <c r="BS35" i="2" s="1"/>
  <c r="BR6" i="2"/>
  <c r="BR35" i="2" s="1"/>
  <c r="BQ6" i="2"/>
  <c r="BQ35" i="2" s="1"/>
  <c r="BP6" i="2"/>
  <c r="BP35" i="2" s="1"/>
  <c r="BO6" i="2"/>
  <c r="BO35" i="2" s="1"/>
  <c r="BN6" i="2"/>
  <c r="BN35" i="2" s="1"/>
  <c r="BM6" i="2"/>
  <c r="BM35" i="2" s="1"/>
  <c r="BL6" i="2"/>
  <c r="BL35" i="2" s="1"/>
  <c r="BK6" i="2"/>
  <c r="BK35" i="2" s="1"/>
  <c r="BJ6" i="2"/>
  <c r="BJ35" i="2" s="1"/>
  <c r="BI6" i="2"/>
  <c r="BI35" i="2" s="1"/>
  <c r="BH6" i="2"/>
  <c r="BH35" i="2" s="1"/>
  <c r="BG6" i="2"/>
  <c r="BG35" i="2" s="1"/>
  <c r="BF6" i="2"/>
  <c r="BF35" i="2" s="1"/>
  <c r="BE6" i="2"/>
  <c r="BE35" i="2" s="1"/>
  <c r="BD6" i="2"/>
  <c r="BD35" i="2" s="1"/>
  <c r="BC6" i="2"/>
  <c r="BC35" i="2" s="1"/>
  <c r="BB6" i="2"/>
  <c r="BB35" i="2" s="1"/>
  <c r="BA6" i="2"/>
  <c r="BA35" i="2" s="1"/>
  <c r="AZ6" i="2"/>
  <c r="AZ35" i="2" s="1"/>
  <c r="AY6" i="2"/>
  <c r="AY35" i="2" s="1"/>
  <c r="AX6" i="2"/>
  <c r="AX35" i="2" s="1"/>
  <c r="AW6" i="2"/>
  <c r="AW35" i="2" s="1"/>
  <c r="AV6" i="2"/>
  <c r="AV35" i="2" s="1"/>
  <c r="AU6" i="2"/>
  <c r="AU35" i="2" s="1"/>
  <c r="AT6" i="2"/>
  <c r="AT35" i="2" s="1"/>
  <c r="AS6" i="2"/>
  <c r="AS35" i="2" s="1"/>
  <c r="AR6" i="2"/>
  <c r="AR35" i="2" s="1"/>
  <c r="AQ6" i="2"/>
  <c r="AQ35" i="2" s="1"/>
  <c r="AP6" i="2"/>
  <c r="AP35" i="2" s="1"/>
  <c r="AO6" i="2"/>
  <c r="AO35" i="2" s="1"/>
  <c r="AN6" i="2"/>
  <c r="AN35" i="2" s="1"/>
  <c r="AM6" i="2"/>
  <c r="AM35" i="2" s="1"/>
  <c r="AL6" i="2"/>
  <c r="AL35" i="2" s="1"/>
  <c r="AK6" i="2"/>
  <c r="AK35" i="2" s="1"/>
  <c r="AJ6" i="2"/>
  <c r="AJ35" i="2" s="1"/>
  <c r="AI6" i="2"/>
  <c r="AI35" i="2" s="1"/>
  <c r="AH6" i="2"/>
  <c r="AH35" i="2" s="1"/>
  <c r="AG6" i="2"/>
  <c r="AG35" i="2" s="1"/>
  <c r="AF6" i="2"/>
  <c r="AF35" i="2" s="1"/>
  <c r="AE6" i="2"/>
  <c r="AE35" i="2" s="1"/>
  <c r="AD6" i="2"/>
  <c r="AD35" i="2" s="1"/>
  <c r="AC6" i="2"/>
  <c r="AC35" i="2" s="1"/>
  <c r="AB6" i="2"/>
  <c r="AB35" i="2" s="1"/>
  <c r="AA6" i="2"/>
  <c r="AA35" i="2" s="1"/>
  <c r="Z6" i="2"/>
  <c r="Z35" i="2" s="1"/>
  <c r="Y6" i="2"/>
  <c r="Y35" i="2" s="1"/>
  <c r="X6" i="2"/>
  <c r="X35" i="2" s="1"/>
  <c r="W6" i="2"/>
  <c r="W35" i="2" s="1"/>
  <c r="V6" i="2"/>
  <c r="V35" i="2" s="1"/>
  <c r="U6" i="2"/>
  <c r="U35" i="2" s="1"/>
  <c r="T6" i="2"/>
  <c r="T35" i="2" s="1"/>
  <c r="S6" i="2"/>
  <c r="S35" i="2" s="1"/>
  <c r="R6" i="2"/>
  <c r="R35" i="2" s="1"/>
  <c r="Q6" i="2"/>
  <c r="Q35" i="2" s="1"/>
  <c r="P6" i="2"/>
  <c r="P35" i="2" s="1"/>
  <c r="O6" i="2"/>
  <c r="O35" i="2" s="1"/>
  <c r="N6" i="2"/>
  <c r="N35" i="2" s="1"/>
  <c r="M6" i="2"/>
  <c r="M35" i="2" s="1"/>
  <c r="L6" i="2"/>
  <c r="L35" i="2" s="1"/>
  <c r="K6" i="2"/>
  <c r="K35" i="2" s="1"/>
  <c r="J6" i="2"/>
  <c r="J35" i="2" s="1"/>
  <c r="I6" i="2"/>
  <c r="I35" i="2" s="1"/>
  <c r="H6" i="2"/>
  <c r="H35" i="2" s="1"/>
  <c r="G6" i="2"/>
  <c r="G35" i="2" s="1"/>
  <c r="F6" i="2"/>
  <c r="F35" i="2" s="1"/>
  <c r="E6" i="2"/>
  <c r="E35" i="2" s="1"/>
  <c r="D6" i="2"/>
  <c r="D35" i="2" s="1"/>
  <c r="B6" i="2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J45" i="1" s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J40" i="1" s="1"/>
  <c r="H39" i="1"/>
  <c r="G39" i="1"/>
  <c r="F39" i="1"/>
  <c r="E39" i="1"/>
  <c r="D39" i="1"/>
  <c r="C39" i="1"/>
  <c r="J39" i="1" s="1"/>
  <c r="H38" i="1"/>
  <c r="G38" i="1"/>
  <c r="F38" i="1"/>
  <c r="E38" i="1"/>
  <c r="D38" i="1"/>
  <c r="C38" i="1"/>
  <c r="H37" i="1"/>
  <c r="G37" i="1"/>
  <c r="F37" i="1"/>
  <c r="E37" i="1"/>
  <c r="D37" i="1"/>
  <c r="C37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H22" i="1"/>
  <c r="G22" i="1"/>
  <c r="F22" i="1"/>
  <c r="E22" i="1"/>
  <c r="D22" i="1"/>
  <c r="C22" i="1"/>
  <c r="H21" i="1"/>
  <c r="G21" i="1"/>
  <c r="F21" i="1"/>
  <c r="E21" i="1"/>
  <c r="D21" i="1"/>
  <c r="C21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G10" i="1"/>
  <c r="F10" i="1"/>
  <c r="E10" i="1"/>
  <c r="D10" i="1"/>
  <c r="C10" i="1"/>
  <c r="H9" i="1"/>
  <c r="G9" i="1"/>
  <c r="F9" i="1"/>
  <c r="E9" i="1"/>
  <c r="D9" i="1"/>
  <c r="C9" i="1"/>
  <c r="H8" i="1"/>
  <c r="G8" i="1"/>
  <c r="F8" i="1"/>
  <c r="E8" i="1"/>
  <c r="D8" i="1"/>
  <c r="C8" i="1"/>
  <c r="H7" i="1"/>
  <c r="G7" i="1"/>
  <c r="F7" i="1"/>
  <c r="E7" i="1"/>
  <c r="D7" i="1"/>
  <c r="C7" i="1"/>
  <c r="I7" i="1" l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7" i="1"/>
  <c r="J37" i="1" s="1"/>
  <c r="I38" i="1"/>
  <c r="J38" i="1" s="1"/>
  <c r="I39" i="1"/>
  <c r="I40" i="1"/>
  <c r="I41" i="1"/>
  <c r="J41" i="1" s="1"/>
  <c r="I42" i="1"/>
  <c r="J42" i="1" s="1"/>
  <c r="I43" i="1"/>
  <c r="J43" i="1" s="1"/>
  <c r="I44" i="1"/>
  <c r="J44" i="1" s="1"/>
  <c r="I45" i="1"/>
  <c r="I46" i="1"/>
  <c r="J46" i="1" s="1"/>
  <c r="I47" i="1"/>
  <c r="J47" i="1" s="1"/>
  <c r="I48" i="1"/>
  <c r="J48" i="1" s="1"/>
  <c r="I49" i="1"/>
  <c r="J49" i="1" s="1"/>
</calcChain>
</file>

<file path=xl/sharedStrings.xml><?xml version="1.0" encoding="utf-8"?>
<sst xmlns="http://schemas.openxmlformats.org/spreadsheetml/2006/main" count="1821" uniqueCount="365">
  <si>
    <t>TUBULAR MONITORING  —  DASHBOARD</t>
  </si>
  <si>
    <t>TOTAL RIGS</t>
  </si>
  <si>
    <t>TOTAL HOISTS</t>
  </si>
  <si>
    <t>TOTAL UNITS</t>
  </si>
  <si>
    <t>TUBULAR TYPES</t>
  </si>
  <si>
    <t>TUBULAR DESCRIPTION</t>
  </si>
  <si>
    <t>ON
CONTRACT</t>
  </si>
  <si>
    <t>PREMIUM
●● White</t>
  </si>
  <si>
    <t>CLASS 2
● Yellow</t>
  </si>
  <si>
    <t>CLASS 3
● Orange</t>
  </si>
  <si>
    <t>SCRAP
● Red</t>
  </si>
  <si>
    <t>NEEDS
INSPECTION</t>
  </si>
  <si>
    <t>NET
SHORTFALL</t>
  </si>
  <si>
    <t>STATUS</t>
  </si>
  <si>
    <t xml:space="preserve">  ◆  DRILL PIPE</t>
  </si>
  <si>
    <t>3-1/2" DP, G-105, 13.3 ppf, NC38</t>
  </si>
  <si>
    <t>3-1/2" DP, G-105, 15.5 ppf, NC38</t>
  </si>
  <si>
    <t>4" DP, G-105, 14.0 ppf, HLIST39</t>
  </si>
  <si>
    <t>4" DP, G-105, 15.7 ppf, HLIST39</t>
  </si>
  <si>
    <t>4" DP, G-105, 14.0 ppf, XT39</t>
  </si>
  <si>
    <t>4" DP, G-105, 15.7 ppf, XT39</t>
  </si>
  <si>
    <t>4" DP, G-105, 14.0 ppf, HT40</t>
  </si>
  <si>
    <t>4" DP, G-105, 15.7 ppf, HT40</t>
  </si>
  <si>
    <t>4" DP, S-135, 15.7 ppf, XT39</t>
  </si>
  <si>
    <t>5" DP, G-105, 19.5 ppf, NC50</t>
  </si>
  <si>
    <t>5" DP, G-105, 25.6 ppf, NC50</t>
  </si>
  <si>
    <t>5" DP, S-135, 19.5 ppf, NC50</t>
  </si>
  <si>
    <t>5-1/2" DP, G-105, 24.7 ppf, DELTA544</t>
  </si>
  <si>
    <t xml:space="preserve">  ◆  HWDP</t>
  </si>
  <si>
    <t>3-1/2" HWDP, NC38, 25.3 ppf</t>
  </si>
  <si>
    <t>4" HWDP, HT40, R-2</t>
  </si>
  <si>
    <t>4" HWDP, XT39, 30.5 ppf</t>
  </si>
  <si>
    <t>5" HWDP, NC50, 49.3 ppf</t>
  </si>
  <si>
    <t>5" HWDP, R-2</t>
  </si>
  <si>
    <t>5-1/2" HWDP, DELTA544, 56.5 ppf</t>
  </si>
  <si>
    <t xml:space="preserve">  ◆  DRILL COLLAR</t>
  </si>
  <si>
    <t>9-1/2" DC, 7-5/8" REG, 217.2 lb/ft</t>
  </si>
  <si>
    <t>8-1/2" DC, 6-5/8" REG</t>
  </si>
  <si>
    <t>8-1/4" DC, 6-5/8" REG, 150.3 lb/ft</t>
  </si>
  <si>
    <t>6-3/4" DC, NC50, 101.4 lb/ft</t>
  </si>
  <si>
    <t>6-1/2" DC, 4" IF</t>
  </si>
  <si>
    <t>6-1/4" DC, 4" IF (NC46)</t>
  </si>
  <si>
    <t>6-1/2" DC, 4-1/2" IF (NC50)</t>
  </si>
  <si>
    <t>4-3/4" DC, NC38, 47.3 lb/ft</t>
  </si>
  <si>
    <t xml:space="preserve">  ◆  PUP JOINT</t>
  </si>
  <si>
    <t>3-1/2" PUP, G-105, NC38, 13.3 ppf</t>
  </si>
  <si>
    <t>3-1/2" PUP, G-105, NC38, 15.5 ppf</t>
  </si>
  <si>
    <t>4" PUP, G-105, HLIST39, 14.0 ppf</t>
  </si>
  <si>
    <t>4" PUP, G-105, HLIST39, 15.7 ppf</t>
  </si>
  <si>
    <t>4" PUP, G-105, XT39, 14.0 ppf</t>
  </si>
  <si>
    <t>4" PUP, G-105, XT39, 15.7 ppf</t>
  </si>
  <si>
    <t>4" PUP, G-105, HT40, 14.0 ppf</t>
  </si>
  <si>
    <t>4" PUP, G-105, HT40, 15.7 ppf</t>
  </si>
  <si>
    <t>4" PUP, S-135, XT39, 15.7 ppf</t>
  </si>
  <si>
    <t>5" PUP, G-105, NC50, 19.5 ppf</t>
  </si>
  <si>
    <t>5" PUP, G-105, NC50, 25.6 ppf</t>
  </si>
  <si>
    <t>5" PUP, S-135, NC50, 19.5 ppf</t>
  </si>
  <si>
    <t>5-1/2" PUP, G-105, DELTA544, 24.7 ppf</t>
  </si>
  <si>
    <t xml:space="preserve">  COLOUR BANDS — API RP 7G CLASSIFICATION</t>
  </si>
  <si>
    <t xml:space="preserve">  ●● PREMIUM (Two White Bands)  ≥80% wall thickness, ≤3% OD wear</t>
  </si>
  <si>
    <t xml:space="preserve">  ● CLASS 2 (One Yellow Band)   ≥70% wall thickness, ≤4% OD wear</t>
  </si>
  <si>
    <t xml:space="preserve">  ● CLASS 3 (One Orange Band)   Imperfections exceeding Class 2 limits</t>
  </si>
  <si>
    <t xml:space="preserve">  ● SCRAP  (One Red Band)       No longer fit for service</t>
  </si>
  <si>
    <t xml:space="preserve">  ⚑ NEEDS INSPECTION           Flagged for upcoming inspection cycle</t>
  </si>
  <si>
    <t>ℹ  HOW TO USE: Open any Rig/Hoist sheet → click yellow Description cell → pick from dropdown → enter quantities in classification columns. Dashboard and Master update automatically.</t>
  </si>
  <si>
    <t>TUBULAR MONITORING  —  MASTER SHEET</t>
  </si>
  <si>
    <t>Aggregated from Rig &amp; Hoist sheets via SUMIF  |  31-May-2026</t>
  </si>
  <si>
    <t>RIG / HOIST</t>
  </si>
  <si>
    <t>DATE OF
UPDATE</t>
  </si>
  <si>
    <t>UNIT</t>
  </si>
  <si>
    <t>CONTRACT</t>
  </si>
  <si>
    <t>PREMIUM</t>
  </si>
  <si>
    <t>CLASS 2</t>
  </si>
  <si>
    <t>CLASS 3</t>
  </si>
  <si>
    <t>SCRAP</t>
  </si>
  <si>
    <t>NEEDS INSP</t>
  </si>
  <si>
    <t>Rig 103</t>
  </si>
  <si>
    <t>Joints</t>
  </si>
  <si>
    <t>Rig 104</t>
  </si>
  <si>
    <t>Rig 105</t>
  </si>
  <si>
    <t>Rig 106</t>
  </si>
  <si>
    <t>Rig 107</t>
  </si>
  <si>
    <t>Rig 108</t>
  </si>
  <si>
    <t>Rig 109</t>
  </si>
  <si>
    <t>Rig 110</t>
  </si>
  <si>
    <t>Rig 111</t>
  </si>
  <si>
    <t>Rig 201</t>
  </si>
  <si>
    <t>Rig 202</t>
  </si>
  <si>
    <t>Rig 203</t>
  </si>
  <si>
    <t>Rig 204</t>
  </si>
  <si>
    <t>Rig 205</t>
  </si>
  <si>
    <t>Rig 206</t>
  </si>
  <si>
    <t>Rig 207</t>
  </si>
  <si>
    <t>Rig 208</t>
  </si>
  <si>
    <t>Rig 209</t>
  </si>
  <si>
    <t>Rig 210</t>
  </si>
  <si>
    <t>Rig 302</t>
  </si>
  <si>
    <t>Rig 303</t>
  </si>
  <si>
    <t>Rig 304</t>
  </si>
  <si>
    <t>Rig 305</t>
  </si>
  <si>
    <t>Rig 306</t>
  </si>
  <si>
    <t>Hoist 1</t>
  </si>
  <si>
    <t>Hoist 2</t>
  </si>
  <si>
    <t>Hoist 3</t>
  </si>
  <si>
    <t>Hoist 4</t>
  </si>
  <si>
    <t>Hoist 5</t>
  </si>
  <si>
    <t>TOTAL</t>
  </si>
  <si>
    <t>TUBULAR INSPECTION &amp; CLASSIFICATION  —  REFERENCE SHEET</t>
  </si>
  <si>
    <t>Based on API RP 7G  |  For internal reference only. Always refer to the current edition of API RP 7G for official requirements.</t>
  </si>
  <si>
    <t>1.  DRILL PIPE CLASSIFICATION  (API RP 7G)</t>
  </si>
  <si>
    <t>CLASS</t>
  </si>
  <si>
    <t>WALL THICKNESS</t>
  </si>
  <si>
    <t>MAX OD WEAR</t>
  </si>
  <si>
    <t>BAND MARKING</t>
  </si>
  <si>
    <t>TOOL JOINT ID</t>
  </si>
  <si>
    <t>PREMIUM CLASS</t>
  </si>
  <si>
    <t>Remaining wall ≥ 80% of nominal</t>
  </si>
  <si>
    <t>OD wear ≤ 3% of nominal OD</t>
  </si>
  <si>
    <t>Two White Bands  +  one centre punch mark</t>
  </si>
  <si>
    <t>Green = field repairable
Red = scrap / shop repair</t>
  </si>
  <si>
    <t>Remaining wall ≥ 70% of nominal</t>
  </si>
  <si>
    <t>OD wear ≤ 4% of nominal OD</t>
  </si>
  <si>
    <t>One Yellow Band  +  two centre punch marks</t>
  </si>
  <si>
    <t>Any imperfection exceeding
Class 2 limits</t>
  </si>
  <si>
    <t>N/A</t>
  </si>
  <si>
    <t>One Orange Band  +  three centre punch marks</t>
  </si>
  <si>
    <t>No longer fit for service</t>
  </si>
  <si>
    <t>One Red Band</t>
  </si>
  <si>
    <t>Red — not for use</t>
  </si>
  <si>
    <t>2.  INSPECTION ZONES</t>
  </si>
  <si>
    <t>ZONE</t>
  </si>
  <si>
    <t>AREA COVERED</t>
  </si>
  <si>
    <t>STANDARD</t>
  </si>
  <si>
    <t>NOTES</t>
  </si>
  <si>
    <t>Zone A</t>
  </si>
  <si>
    <t>Pipe body covered under drill pipe classification</t>
  </si>
  <si>
    <t>API RP 7G</t>
  </si>
  <si>
    <t>Primary inspection zone for wall thickness and OD wear measurements</t>
  </si>
  <si>
    <t>Zone B</t>
  </si>
  <si>
    <t>Tool joint — covered under tool joint inspection standard</t>
  </si>
  <si>
    <t>Includes box and pin area; condition rated separately (Red/Green)</t>
  </si>
  <si>
    <t>Zone C</t>
  </si>
  <si>
    <t>Transition / upset area between pipe body and tool joint</t>
  </si>
  <si>
    <t>May not be fully covered by standard classification measurements; inspect carefully</t>
  </si>
  <si>
    <t>3.  RELATED STANDARDS</t>
  </si>
  <si>
    <t>SCOPE</t>
  </si>
  <si>
    <t>Used drill pipe inspection, classification and reconditioning</t>
  </si>
  <si>
    <t>API Spec 5D</t>
  </si>
  <si>
    <t>New drill pipe properties and specifications</t>
  </si>
  <si>
    <t>API Spec 7</t>
  </si>
  <si>
    <t>Drill collar and rotary drill stem element dimensions and threads</t>
  </si>
  <si>
    <t>API Standard 5CT</t>
  </si>
  <si>
    <t>Casing and tubing classification and drift diameter requirements</t>
  </si>
  <si>
    <t>4.  TUBULAR NOMINAL WEIGHTS  (Reference)</t>
  </si>
  <si>
    <t>DESCRIPTION</t>
  </si>
  <si>
    <t>NOMINAL WEIGHT</t>
  </si>
  <si>
    <t>METRIC (kg/m)</t>
  </si>
  <si>
    <t>CONNECTION</t>
  </si>
  <si>
    <t>9-1/2" DC, 7-5/8" REG</t>
  </si>
  <si>
    <t>217.2 lb/ft</t>
  </si>
  <si>
    <t>323.2 kg/m</t>
  </si>
  <si>
    <t>7-5/8" REG</t>
  </si>
  <si>
    <t>Drill Collar</t>
  </si>
  <si>
    <t>~175 lb/ft</t>
  </si>
  <si>
    <t>~260 kg/m</t>
  </si>
  <si>
    <t>6-5/8" REG</t>
  </si>
  <si>
    <t>8-1/4" DC, 6-5/8" REG</t>
  </si>
  <si>
    <t>150.3 lb/ft</t>
  </si>
  <si>
    <t>223.7 kg/m</t>
  </si>
  <si>
    <t>6-3/4" DC, NC50</t>
  </si>
  <si>
    <t>101.4 lb/ft</t>
  </si>
  <si>
    <t>150.9 kg/m</t>
  </si>
  <si>
    <t>NC50</t>
  </si>
  <si>
    <t>~85 lb/ft</t>
  </si>
  <si>
    <t>~126 kg/m</t>
  </si>
  <si>
    <t>4" IF</t>
  </si>
  <si>
    <t>~78 lb/ft</t>
  </si>
  <si>
    <t>~116 kg/m</t>
  </si>
  <si>
    <t>4" IF / NC46</t>
  </si>
  <si>
    <t>Drill Collar — NEW</t>
  </si>
  <si>
    <t>6-1/2" DC, 4-1/2" IF NC50</t>
  </si>
  <si>
    <t>~90 lb/ft</t>
  </si>
  <si>
    <t>~134 kg/m</t>
  </si>
  <si>
    <t>4-1/2" IF / NC50</t>
  </si>
  <si>
    <t>4-3/4" DC, NC38</t>
  </si>
  <si>
    <t>47.3 lb/ft</t>
  </si>
  <si>
    <t>70.4 kg/m</t>
  </si>
  <si>
    <t>NC38</t>
  </si>
  <si>
    <t>5-1/2" HWDP DELTA544</t>
  </si>
  <si>
    <t>56.5 lb/ft</t>
  </si>
  <si>
    <t>84.1 kg/m</t>
  </si>
  <si>
    <t>DELTA544</t>
  </si>
  <si>
    <t>Heavy Wall DP</t>
  </si>
  <si>
    <t>5" HWDP NC50</t>
  </si>
  <si>
    <t>49.3 lb/ft</t>
  </si>
  <si>
    <t>73.4 kg/m</t>
  </si>
  <si>
    <t>4" HWDP XT39</t>
  </si>
  <si>
    <t>30.5 lb/ft</t>
  </si>
  <si>
    <t>45.4 kg/m</t>
  </si>
  <si>
    <t>XT39</t>
  </si>
  <si>
    <t>3-1/2" HWDP NC38</t>
  </si>
  <si>
    <t>25.3 lb/ft</t>
  </si>
  <si>
    <t>37.7 kg/m</t>
  </si>
  <si>
    <t>RIG # 103  —  TUBULAR MONITORING SHEET</t>
  </si>
  <si>
    <t>Rig #:</t>
  </si>
  <si>
    <t>Date of Update:</t>
  </si>
  <si>
    <t>Unit:</t>
  </si>
  <si>
    <t>CATEGORY</t>
  </si>
  <si>
    <t>TUBULAR DESCRIPTION
(select ▼)</t>
  </si>
  <si>
    <t>ON BOARD
TOTAL</t>
  </si>
  <si>
    <t>CLASSIFICATION  (API RP 7G)</t>
  </si>
  <si>
    <t>DAMAGED
On LOCATION</t>
  </si>
  <si>
    <t>SEND
TO REPAIR</t>
  </si>
  <si>
    <t>TO
Other Rig</t>
  </si>
  <si>
    <t>RECEIVE
FROM RIG</t>
  </si>
  <si>
    <t>RENTAL
DATE</t>
  </si>
  <si>
    <t>CONTRACT-
UALLY LESS</t>
  </si>
  <si>
    <t>REMARKS</t>
  </si>
  <si>
    <t>4" HT40 DP</t>
  </si>
  <si>
    <t>9m each</t>
  </si>
  <si>
    <t>1.5m</t>
  </si>
  <si>
    <t>3m</t>
  </si>
  <si>
    <t>4.5m</t>
  </si>
  <si>
    <t xml:space="preserve">  NOTES / REMARKS</t>
  </si>
  <si>
    <t>Contract Number: C3100000659</t>
  </si>
  <si>
    <t>RIG # 104  —  TUBULAR MONITORING SHEET</t>
  </si>
  <si>
    <t>RIG # 105  —  TUBULAR MONITORING SHEET</t>
  </si>
  <si>
    <t>105</t>
  </si>
  <si>
    <t>RIG # 106  —  TUBULAR MONITORING SHEET</t>
  </si>
  <si>
    <t>106</t>
  </si>
  <si>
    <t>5" Pup Joint 4.55m</t>
  </si>
  <si>
    <t>5" Pup Joint 4.72m</t>
  </si>
  <si>
    <t>5" Pup Joint 3.17m</t>
  </si>
  <si>
    <t>5" Pup Joint 1.5m</t>
  </si>
  <si>
    <t>4" Pup Joint 3m</t>
  </si>
  <si>
    <t>4" Pup Joint 1.5m</t>
  </si>
  <si>
    <t>RIG # 107  —  TUBULAR MONITORING SHEET</t>
  </si>
  <si>
    <t>5" HWDP</t>
  </si>
  <si>
    <t>4" HWDP</t>
  </si>
  <si>
    <t>16 In Rig &amp; 5 in camp</t>
  </si>
  <si>
    <t>15 In Rig &amp; 5 in camp</t>
  </si>
  <si>
    <t>RIG # 108  —  TUBULAR MONITORING SHEET</t>
  </si>
  <si>
    <t xml:space="preserve"> 13 No's Stuck in Dhiab 52</t>
  </si>
  <si>
    <t>5 No's Stuck in Dhiab 52</t>
  </si>
  <si>
    <t>RIG # 109  —  TUBULAR MONITORING SHEET</t>
  </si>
  <si>
    <t>RIG # 110  —  TUBULAR MONITORING SHEET</t>
  </si>
  <si>
    <t>5" Pup Joint</t>
  </si>
  <si>
    <t>4" Pup Joint</t>
  </si>
  <si>
    <t>Contract Ref. No: AB/2019-053</t>
  </si>
  <si>
    <t>RIG # 111  —  TUBULAR MONITORING SHEET</t>
  </si>
  <si>
    <t>111</t>
  </si>
  <si>
    <t>4" XT39 DP</t>
  </si>
  <si>
    <t>9 1/2" DC</t>
  </si>
  <si>
    <t>8 1/4" DC</t>
  </si>
  <si>
    <t>6 3/4" DC</t>
  </si>
  <si>
    <t>4 3/4" DC</t>
  </si>
  <si>
    <t>RIG # 201  —  TUBULAR MONITORING SHEET</t>
  </si>
  <si>
    <t>201</t>
  </si>
  <si>
    <t>5'' P/J 1.65 m</t>
  </si>
  <si>
    <t>5'' P/J 2.94 m</t>
  </si>
  <si>
    <t>5'' P/J 3 m</t>
  </si>
  <si>
    <t>5'' P/J 5.93 m</t>
  </si>
  <si>
    <t>RIG # 202  —  TUBULAR MONITORING SHEET</t>
  </si>
  <si>
    <t>202</t>
  </si>
  <si>
    <t>DRILL PIPE HLIST 39</t>
  </si>
  <si>
    <t>147 not accessible for inspection</t>
  </si>
  <si>
    <t>2 not accessible for inspection</t>
  </si>
  <si>
    <t>5m</t>
  </si>
  <si>
    <t>1.8m</t>
  </si>
  <si>
    <t>5.76m</t>
  </si>
  <si>
    <t>C310881</t>
  </si>
  <si>
    <t>RIG # 203  —  TUBULAR MONITORING SHEET</t>
  </si>
  <si>
    <t>203</t>
  </si>
  <si>
    <t xml:space="preserve"> 15.5 ppf</t>
  </si>
  <si>
    <t>from rig 301</t>
  </si>
  <si>
    <t>6m</t>
  </si>
  <si>
    <t>4m</t>
  </si>
  <si>
    <t>8m</t>
  </si>
  <si>
    <t>RIG # 204  —  TUBULAR MONITORING SHEET</t>
  </si>
  <si>
    <t>204</t>
  </si>
  <si>
    <t>Not been used for 2yrs</t>
  </si>
  <si>
    <t>23 belong to rig 306</t>
  </si>
  <si>
    <t>send to rig 105</t>
  </si>
  <si>
    <t>15 from rig 306/ 1 to rig 105 amd 1 to rig 208</t>
  </si>
  <si>
    <t>RIG # 205  —  TUBULAR MONITORING SHEET</t>
  </si>
  <si>
    <t>205</t>
  </si>
  <si>
    <t xml:space="preserve"> 66 joints coating/197 OK</t>
  </si>
  <si>
    <t>from rig 306</t>
  </si>
  <si>
    <t>from rig 104</t>
  </si>
  <si>
    <t xml:space="preserve">not available in rig </t>
  </si>
  <si>
    <t>50 to rig 209/40 to rig 208</t>
  </si>
  <si>
    <t>from rig 210</t>
  </si>
  <si>
    <t xml:space="preserve">12 joint loss in hole </t>
  </si>
  <si>
    <t>AB/2020-018</t>
  </si>
  <si>
    <t>RIG # 206  —  TUBULAR MONITORING SHEET</t>
  </si>
  <si>
    <t>206</t>
  </si>
  <si>
    <t>RIG # 207  —  TUBULAR MONITORING SHEET</t>
  </si>
  <si>
    <t>207</t>
  </si>
  <si>
    <t>14 from rig 208</t>
  </si>
  <si>
    <t>7 from rig 208</t>
  </si>
  <si>
    <t>RIG # 208  —  TUBULAR MONITORING SHEET</t>
  </si>
  <si>
    <t>208</t>
  </si>
  <si>
    <t>RIG # 209  —  TUBULAR MONITORING SHEET</t>
  </si>
  <si>
    <t>209</t>
  </si>
  <si>
    <t>RIG # 210  —  TUBULAR MONITORING SHEET</t>
  </si>
  <si>
    <t>210</t>
  </si>
  <si>
    <t>RIG # 302  —  TUBULAR MONITORING SHEET</t>
  </si>
  <si>
    <t>302</t>
  </si>
  <si>
    <t>RIG # 303  —  TUBULAR MONITORING SHEET</t>
  </si>
  <si>
    <t>303</t>
  </si>
  <si>
    <t>12 on UES / 39 to rig 304/ PO 200027604</t>
  </si>
  <si>
    <t>11 on UES / 39 to rig 304/ PO 200027604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</si>
  <si>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</si>
  <si>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 on UES + 64 need repair/ PO 200027604</t>
  </si>
  <si>
    <t xml:space="preserve"> 15 from rig 305 / 14 to rig 304</t>
  </si>
  <si>
    <t>11 to rig 304 / 16 from rig 304</t>
  </si>
  <si>
    <t>1 need for retired</t>
  </si>
  <si>
    <t>4.2M New/4.61M old/6.3M New/6.1M old</t>
  </si>
  <si>
    <t>1.5M</t>
  </si>
  <si>
    <t>RIG # 304  —  TUBULAR MONITORING SHEET</t>
  </si>
  <si>
    <t>304</t>
  </si>
  <si>
    <t xml:space="preserve"> need to retired 39 DP 303 MTV04/23/202622163 NEED FOR REPAIR S.G</t>
  </si>
  <si>
    <t xml:space="preserve"> need to retired 119 DP 303 /  need to retired 30 DP 302     MTV04/23/202622163 NEED FOR REPAIR S.G
MTV-04/24/202622167
MTV-12/28/202414007
70 DP need repair &amp; coated  </t>
  </si>
  <si>
    <t>need to retired 115 DP 301  MTV-03/09/202515090.301
MTV-01/21/202514300. 301
MTV-02/10/202620883 UES
40 scrap &amp; 6 hard bend &amp; 40 coated</t>
  </si>
  <si>
    <t>15 FAIL IN HOLE</t>
  </si>
  <si>
    <t>34 to rig 302</t>
  </si>
  <si>
    <t>MTV04/23/202622163 NEED FOR REPAIR</t>
  </si>
  <si>
    <t>11 need to retired 303 / MTV04/23/202622163 NEED FOR REPAIR</t>
  </si>
  <si>
    <t>3 to rig 302 / MTV-02/03/202514514
7 SCRAP</t>
  </si>
  <si>
    <t xml:space="preserve"> 3M New/6.3M New/4.2M New</t>
  </si>
  <si>
    <t>1.5M/3M/5.6M/5.94M</t>
  </si>
  <si>
    <t>RIG # 305  —  TUBULAR MONITORING SHEET</t>
  </si>
  <si>
    <t>305</t>
  </si>
  <si>
    <t>101 JOINTS ARE SHORTAGE</t>
  </si>
  <si>
    <t>272 NEW + 242 OLD EXTRA</t>
  </si>
  <si>
    <r>
      <rPr>
        <sz val="9"/>
        <color rgb="FF595959"/>
        <rFont val="Arial"/>
      </rPr>
      <t>to rig 306/</t>
    </r>
    <r>
      <rPr>
        <sz val="8"/>
        <color rgb="FF595959"/>
        <rFont val="Arial"/>
      </rPr>
      <t xml:space="preserve"> IPC DAMAGE SEND TO ADAM YARD</t>
    </r>
  </si>
  <si>
    <t>from  rig 306</t>
  </si>
  <si>
    <t>RIG # 306  —  TUBULAR MONITORING SHEET</t>
  </si>
  <si>
    <t>306</t>
  </si>
  <si>
    <t>33 send to rig 305</t>
  </si>
  <si>
    <t>3 to rig 305</t>
  </si>
  <si>
    <t>2 to rig 305</t>
  </si>
  <si>
    <t>9 to rig 305</t>
  </si>
  <si>
    <t>6m/3m/2m/1.5m</t>
  </si>
  <si>
    <t>6m/4m/3m</t>
  </si>
  <si>
    <t>drive sub</t>
  </si>
  <si>
    <t>HOIST # 1  —  TUBULAR MONITORING SHEET</t>
  </si>
  <si>
    <t>Hoist #:</t>
  </si>
  <si>
    <t>1</t>
  </si>
  <si>
    <t>2-7/8" DP, G-105, 10.4 ppf, HTPAC</t>
  </si>
  <si>
    <t xml:space="preserve">Not specified if pupjoint or another category </t>
  </si>
  <si>
    <t>HOIST # 2  —  TUBULAR MONITORING SHEET</t>
  </si>
  <si>
    <t>2</t>
  </si>
  <si>
    <t>HOIST # 3  —  TUBULAR MONITORING SHEET</t>
  </si>
  <si>
    <t>3</t>
  </si>
  <si>
    <t>HOIST # 4  —  TUBULAR MONITORING SHEET</t>
  </si>
  <si>
    <t>4</t>
  </si>
  <si>
    <t>2-7/8" PUP, G-105, HTPAC, 10.4 ppf</t>
  </si>
  <si>
    <t>Not specified if pupjoint or another category</t>
  </si>
  <si>
    <t>HOIST # 5  —  TUBULAR MONITORING SHEET</t>
  </si>
  <si>
    <t>5</t>
  </si>
  <si>
    <t>DRILL PIPE</t>
  </si>
  <si>
    <t>HWDP</t>
  </si>
  <si>
    <t>DRILL COLLAR</t>
  </si>
  <si>
    <t>PUP 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</si>
</sst>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26"/>
      <color rgb="FF2E75B6"/>
      <name val="Arial"/>
      <charset val="1"/>
    </font>
    <font>
      <b/>
      <sz val="26"/>
      <color rgb="FF5B5EA6"/>
      <name val="Arial"/>
      <charset val="1"/>
    </font>
    <font>
      <b/>
      <sz val="26"/>
      <color rgb="FFC55A11"/>
      <name val="Arial"/>
      <charset val="1"/>
    </font>
    <font>
      <b/>
      <sz val="26"/>
      <color rgb="FF375623"/>
      <name val="Arial"/>
      <charset val="1"/>
    </font>
    <font>
      <b/>
      <sz val="8"/>
      <color rgb="FFFFFFFF"/>
      <name val="Arial"/>
      <charset val="1"/>
    </font>
    <font>
      <b/>
      <sz val="8"/>
      <color rgb="FF002060"/>
      <name val="Arial"/>
      <charset val="1"/>
    </font>
    <font>
      <b/>
      <sz val="8"/>
      <color rgb="FF7F6000"/>
      <name val="Arial"/>
      <charset val="1"/>
    </font>
    <font>
      <b/>
      <sz val="8"/>
      <color rgb="FF833C00"/>
      <name val="Arial"/>
      <charset val="1"/>
    </font>
    <font>
      <b/>
      <sz val="8"/>
      <color rgb="FFC00000"/>
      <name val="Arial"/>
      <charset val="1"/>
    </font>
    <font>
      <b/>
      <sz val="8"/>
      <color rgb="FF375623"/>
      <name val="Arial"/>
      <charset val="1"/>
    </font>
    <font>
      <sz val="9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8"/>
      <name val="Arial"/>
      <charset val="1"/>
    </font>
    <font>
      <b/>
      <sz val="9"/>
      <color rgb="FF002060"/>
      <name val="Arial"/>
      <charset val="1"/>
    </font>
    <font>
      <b/>
      <sz val="9"/>
      <color rgb="FF7F6000"/>
      <name val="Arial"/>
      <charset val="1"/>
    </font>
    <font>
      <b/>
      <sz val="9"/>
      <color rgb="FF833C00"/>
      <name val="Arial"/>
      <charset val="1"/>
    </font>
    <font>
      <b/>
      <sz val="9"/>
      <color rgb="FFC00000"/>
      <name val="Arial"/>
      <charset val="1"/>
    </font>
    <font>
      <b/>
      <sz val="9"/>
      <color rgb="FF375623"/>
      <name val="Arial"/>
      <charset val="1"/>
    </font>
    <font>
      <i/>
      <sz val="9"/>
      <color rgb="FF1F3864"/>
      <name val="Arial"/>
      <charset val="1"/>
    </font>
    <font>
      <b/>
      <sz val="13"/>
      <color rgb="FFFFFFFF"/>
      <name val="Arial"/>
      <charset val="1"/>
    </font>
    <font>
      <i/>
      <sz val="8"/>
      <color rgb="FF595959"/>
      <name val="Arial"/>
      <charset val="1"/>
    </font>
    <font>
      <b/>
      <sz val="7"/>
      <color rgb="FFFFFFFF"/>
      <name val="Arial"/>
      <charset val="1"/>
    </font>
    <font>
      <b/>
      <sz val="7"/>
      <color rgb="FF1F3864"/>
      <name val="Arial"/>
      <charset val="1"/>
    </font>
    <font>
      <b/>
      <sz val="7"/>
      <color rgb="FF002060"/>
      <name val="Arial"/>
      <charset val="1"/>
    </font>
    <font>
      <b/>
      <sz val="7"/>
      <color rgb="FF7F6000"/>
      <name val="Arial"/>
      <charset val="1"/>
    </font>
    <font>
      <b/>
      <sz val="7"/>
      <color rgb="FF833C00"/>
      <name val="Arial"/>
      <charset val="1"/>
    </font>
    <font>
      <b/>
      <sz val="7"/>
      <color rgb="FFC00000"/>
      <name val="Arial"/>
      <charset val="1"/>
    </font>
    <font>
      <b/>
      <sz val="7"/>
      <color rgb="FF375623"/>
      <name val="Arial"/>
      <charset val="1"/>
    </font>
    <font>
      <b/>
      <sz val="9"/>
      <color rgb="FF1F3864"/>
      <name val="Arial"/>
      <charset val="1"/>
    </font>
    <font>
      <sz val="8"/>
      <color rgb="FF595959"/>
      <name val="Arial"/>
      <charset val="1"/>
    </font>
    <font>
      <sz val="9"/>
      <color rgb="FF1F3864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9"/>
      <color rgb="FF002060"/>
      <name val="Arial"/>
      <charset val="1"/>
    </font>
    <font>
      <sz val="9"/>
      <color rgb="FF7F6000"/>
      <name val="Arial"/>
      <charset val="1"/>
    </font>
    <font>
      <sz val="9"/>
      <color rgb="FF833C00"/>
      <name val="Arial"/>
      <charset val="1"/>
    </font>
    <font>
      <sz val="9"/>
      <color rgb="FFC00000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b/>
      <sz val="10"/>
      <color rgb="FF595959"/>
      <name val="Arial"/>
      <charset val="1"/>
    </font>
    <font>
      <b/>
      <sz val="11"/>
      <color rgb="FF2E75B6"/>
      <name val="Arial"/>
      <charset val="1"/>
    </font>
    <font>
      <sz val="10"/>
      <color rgb="FF0070C0"/>
      <name val="Arial"/>
      <charset val="1"/>
    </font>
    <font>
      <b/>
      <sz val="10"/>
      <color rgb="FF0070C0"/>
      <name val="Arial"/>
      <charset val="1"/>
    </font>
    <font>
      <b/>
      <sz val="8"/>
      <color rgb="FF404040"/>
      <name val="Arial"/>
      <charset val="1"/>
    </font>
    <font>
      <sz val="10"/>
      <color rgb="FF595959"/>
      <name val="Arial"/>
      <charset val="1"/>
    </font>
    <font>
      <b/>
      <sz val="10"/>
      <color rgb="FF1F3864"/>
      <name val="Arial"/>
      <charset val="1"/>
    </font>
    <font>
      <sz val="10"/>
      <color rgb="FF375623"/>
      <name val="Arial"/>
      <charset val="1"/>
    </font>
    <font>
      <sz val="9"/>
      <color rgb="FF595959"/>
      <name val="Arial"/>
      <charset val="1"/>
    </font>
    <font>
      <sz val="9"/>
      <color rgb="FF595959"/>
      <name val="Arial"/>
    </font>
    <font>
      <sz val="8"/>
      <color rgb="FF595959"/>
      <name val="Arial"/>
    </font>
    <font>
      <sz val="11"/>
      <color rgb="FF242424"/>
      <name val="Aptos Narrow"/>
    </font>
    <font>
      <sz val="11"/>
      <color rgb="FF242424"/>
      <name val="Aptos Narrow"/>
      <charset val="1"/>
    </font>
    <font>
      <b/>
      <sz val="12"/>
      <color theme="1"/>
      <name val="Times New Roman"/>
      <family val="1"/>
      <charset val="1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75B6"/>
        <bgColor rgb="FF4472C4"/>
      </patternFill>
    </fill>
    <fill>
      <patternFill patternType="solid">
        <fgColor rgb="FF5B5EA6"/>
        <bgColor rgb="FF4472C4"/>
      </patternFill>
    </fill>
    <fill>
      <patternFill patternType="solid">
        <fgColor rgb="FFC55A11"/>
        <bgColor rgb="FF7F6000"/>
      </patternFill>
    </fill>
    <fill>
      <patternFill patternType="solid">
        <fgColor rgb="FF375623"/>
        <bgColor rgb="FF404040"/>
      </patternFill>
    </fill>
    <fill>
      <patternFill patternType="solid">
        <fgColor rgb="FFDEEAF1"/>
        <bgColor rgb="FFE2EFF1"/>
      </patternFill>
    </fill>
    <fill>
      <patternFill patternType="solid">
        <fgColor rgb="FFEEEEFF"/>
        <bgColor rgb="FFF0F7FF"/>
      </patternFill>
    </fill>
    <fill>
      <patternFill patternType="solid">
        <fgColor rgb="FFFDE9D9"/>
        <bgColor rgb="FFFCE4D6"/>
      </patternFill>
    </fill>
    <fill>
      <patternFill patternType="solid">
        <fgColor rgb="FFEBF5EB"/>
        <bgColor rgb="FFF5F5F5"/>
      </patternFill>
    </fill>
    <fill>
      <patternFill patternType="solid">
        <fgColor rgb="FFDDEEFF"/>
        <bgColor rgb="FFE2EFF1"/>
      </patternFill>
    </fill>
    <fill>
      <patternFill patternType="solid">
        <fgColor rgb="FFFFFF99"/>
        <bgColor rgb="FFFFF5CC"/>
      </patternFill>
    </fill>
    <fill>
      <patternFill patternType="solid">
        <fgColor rgb="FFFFD8B2"/>
        <bgColor rgb="FFFFCCCC"/>
      </patternFill>
    </fill>
    <fill>
      <patternFill patternType="solid">
        <fgColor rgb="FFFFCCCC"/>
        <bgColor rgb="FFFFD8B2"/>
      </patternFill>
    </fill>
    <fill>
      <patternFill patternType="solid">
        <fgColor rgb="FFE2F0D9"/>
        <bgColor rgb="FFE2EFDA"/>
      </patternFill>
    </fill>
    <fill>
      <patternFill patternType="solid">
        <fgColor rgb="FFE2EFF1"/>
        <bgColor rgb="FFDEEAF1"/>
      </patternFill>
    </fill>
    <fill>
      <patternFill patternType="solid">
        <fgColor rgb="FFFFF5CC"/>
        <bgColor rgb="FFFFFFD9"/>
      </patternFill>
    </fill>
    <fill>
      <patternFill patternType="solid">
        <fgColor rgb="FFC0C8D0"/>
        <bgColor rgb="FFBFBFBF"/>
      </patternFill>
    </fill>
    <fill>
      <patternFill patternType="solid">
        <fgColor rgb="FFF0F7FF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4472C4"/>
        <bgColor rgb="FF2E75B6"/>
      </patternFill>
    </fill>
    <fill>
      <patternFill patternType="solid">
        <fgColor rgb="FFBDD7EE"/>
        <bgColor rgb="FFC0C8D0"/>
      </patternFill>
    </fill>
    <fill>
      <patternFill patternType="solid">
        <fgColor rgb="FFFFFFD9"/>
        <bgColor rgb="FFFFF5CC"/>
      </patternFill>
    </fill>
    <fill>
      <patternFill patternType="solid">
        <fgColor rgb="FFF5F5F5"/>
        <bgColor rgb="FFF0F7FF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7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left" vertical="center" wrapText="1" indent="1"/>
    </xf>
    <xf numFmtId="3" fontId="14" fillId="16" borderId="2" xfId="0" applyNumberFormat="1" applyFont="1" applyFill="1" applyBorder="1" applyAlignment="1">
      <alignment horizontal="center" vertical="center"/>
    </xf>
    <xf numFmtId="3" fontId="15" fillId="16" borderId="2" xfId="0" applyNumberFormat="1" applyFont="1" applyFill="1" applyBorder="1" applyAlignment="1">
      <alignment horizontal="center" vertical="center"/>
    </xf>
    <xf numFmtId="0" fontId="16" fillId="16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left" vertical="center" wrapText="1" indent="1"/>
    </xf>
    <xf numFmtId="3" fontId="14" fillId="17" borderId="2" xfId="0" applyNumberFormat="1" applyFont="1" applyFill="1" applyBorder="1" applyAlignment="1">
      <alignment horizontal="center" vertical="center"/>
    </xf>
    <xf numFmtId="3" fontId="15" fillId="17" borderId="2" xfId="0" applyNumberFormat="1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 wrapText="1" indent="1"/>
    </xf>
    <xf numFmtId="3" fontId="14" fillId="9" borderId="2" xfId="0" applyNumberFormat="1" applyFont="1" applyFill="1" applyBorder="1" applyAlignment="1">
      <alignment horizontal="center" vertical="center"/>
    </xf>
    <xf numFmtId="3" fontId="15" fillId="9" borderId="2" xfId="0" applyNumberFormat="1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left" vertical="center" wrapText="1" indent="1"/>
    </xf>
    <xf numFmtId="3" fontId="14" fillId="10" borderId="2" xfId="0" applyNumberFormat="1" applyFont="1" applyFill="1" applyBorder="1" applyAlignment="1">
      <alignment horizontal="center" vertical="center"/>
    </xf>
    <xf numFmtId="3" fontId="15" fillId="10" borderId="2" xfId="0" applyNumberFormat="1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 wrapText="1"/>
    </xf>
    <xf numFmtId="0" fontId="27" fillId="11" borderId="2" xfId="0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0" fontId="29" fillId="13" borderId="2" xfId="0" applyFont="1" applyFill="1" applyBorder="1" applyAlignment="1">
      <alignment horizontal="center" vertical="center" wrapText="1"/>
    </xf>
    <xf numFmtId="0" fontId="30" fillId="14" borderId="2" xfId="0" applyFont="1" applyFill="1" applyBorder="1" applyAlignment="1">
      <alignment horizontal="center" vertical="center" wrapText="1"/>
    </xf>
    <xf numFmtId="0" fontId="31" fillId="15" borderId="2" xfId="0" applyFont="1" applyFill="1" applyBorder="1" applyAlignment="1">
      <alignment horizontal="center" vertical="center" wrapText="1"/>
    </xf>
    <xf numFmtId="0" fontId="0" fillId="18" borderId="0" xfId="0" applyFill="1"/>
    <xf numFmtId="0" fontId="32" fillId="19" borderId="2" xfId="0" applyFont="1" applyFill="1" applyBorder="1" applyAlignment="1">
      <alignment horizontal="center" vertical="center"/>
    </xf>
    <xf numFmtId="15" fontId="33" fillId="19" borderId="2" xfId="0" applyNumberFormat="1" applyFont="1" applyFill="1" applyBorder="1" applyAlignment="1">
      <alignment horizontal="center" vertical="center"/>
    </xf>
    <xf numFmtId="0" fontId="34" fillId="19" borderId="2" xfId="0" applyFont="1" applyFill="1" applyBorder="1" applyAlignment="1">
      <alignment horizontal="center" vertical="center"/>
    </xf>
    <xf numFmtId="3" fontId="13" fillId="19" borderId="2" xfId="0" applyNumberFormat="1" applyFont="1" applyFill="1" applyBorder="1" applyAlignment="1">
      <alignment horizontal="center" vertical="center"/>
    </xf>
    <xf numFmtId="0" fontId="32" fillId="20" borderId="2" xfId="0" applyFont="1" applyFill="1" applyBorder="1" applyAlignment="1">
      <alignment horizontal="center" vertical="center"/>
    </xf>
    <xf numFmtId="15" fontId="33" fillId="20" borderId="2" xfId="0" applyNumberFormat="1" applyFont="1" applyFill="1" applyBorder="1" applyAlignment="1">
      <alignment horizontal="center" vertical="center"/>
    </xf>
    <xf numFmtId="0" fontId="34" fillId="20" borderId="2" xfId="0" applyFont="1" applyFill="1" applyBorder="1" applyAlignment="1">
      <alignment horizontal="center" vertical="center"/>
    </xf>
    <xf numFmtId="3" fontId="13" fillId="20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right" vertical="center"/>
    </xf>
    <xf numFmtId="0" fontId="44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16" borderId="2" xfId="0" applyFont="1" applyFill="1" applyBorder="1" applyAlignment="1">
      <alignment horizontal="center" vertical="center" wrapText="1"/>
    </xf>
    <xf numFmtId="0" fontId="34" fillId="23" borderId="2" xfId="0" applyFont="1" applyFill="1" applyBorder="1" applyAlignment="1">
      <alignment horizontal="left" vertical="center" wrapText="1" indent="1"/>
    </xf>
    <xf numFmtId="3" fontId="48" fillId="23" borderId="2" xfId="0" applyNumberFormat="1" applyFont="1" applyFill="1" applyBorder="1" applyAlignment="1">
      <alignment horizontal="center" vertical="center"/>
    </xf>
    <xf numFmtId="3" fontId="49" fillId="16" borderId="2" xfId="0" applyNumberFormat="1" applyFont="1" applyFill="1" applyBorder="1" applyAlignment="1">
      <alignment horizontal="center" vertical="center"/>
    </xf>
    <xf numFmtId="3" fontId="48" fillId="11" borderId="2" xfId="0" applyNumberFormat="1" applyFont="1" applyFill="1" applyBorder="1" applyAlignment="1">
      <alignment horizontal="center" vertical="center"/>
    </xf>
    <xf numFmtId="3" fontId="48" fillId="12" borderId="2" xfId="0" applyNumberFormat="1" applyFont="1" applyFill="1" applyBorder="1" applyAlignment="1">
      <alignment horizontal="center" vertical="center"/>
    </xf>
    <xf numFmtId="3" fontId="48" fillId="13" borderId="2" xfId="0" applyNumberFormat="1" applyFont="1" applyFill="1" applyBorder="1" applyAlignment="1">
      <alignment horizontal="center" vertical="center"/>
    </xf>
    <xf numFmtId="3" fontId="48" fillId="14" borderId="2" xfId="0" applyNumberFormat="1" applyFont="1" applyFill="1" applyBorder="1" applyAlignment="1">
      <alignment horizontal="center" vertical="center"/>
    </xf>
    <xf numFmtId="3" fontId="50" fillId="15" borderId="2" xfId="0" applyNumberFormat="1" applyFont="1" applyFill="1" applyBorder="1" applyAlignment="1">
      <alignment horizontal="center" vertical="center"/>
    </xf>
    <xf numFmtId="164" fontId="13" fillId="23" borderId="2" xfId="0" applyNumberFormat="1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51" fillId="23" borderId="2" xfId="0" applyFont="1" applyFill="1" applyBorder="1" applyAlignment="1">
      <alignment horizontal="left" vertical="center" wrapText="1"/>
    </xf>
    <xf numFmtId="0" fontId="47" fillId="17" borderId="2" xfId="0" applyFont="1" applyFill="1" applyBorder="1" applyAlignment="1">
      <alignment horizontal="center" vertical="center" wrapText="1"/>
    </xf>
    <xf numFmtId="3" fontId="49" fillId="17" borderId="2" xfId="0" applyNumberFormat="1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47" fillId="9" borderId="2" xfId="0" applyFont="1" applyFill="1" applyBorder="1" applyAlignment="1">
      <alignment horizontal="center" vertical="center" wrapText="1"/>
    </xf>
    <xf numFmtId="3" fontId="49" fillId="9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47" fillId="10" borderId="2" xfId="0" applyFont="1" applyFill="1" applyBorder="1" applyAlignment="1">
      <alignment horizontal="center" vertical="center" wrapText="1"/>
    </xf>
    <xf numFmtId="3" fontId="49" fillId="10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41" fillId="2" borderId="2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vertical="center" wrapText="1"/>
    </xf>
    <xf numFmtId="0" fontId="42" fillId="16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vertical="center" wrapText="1"/>
    </xf>
    <xf numFmtId="0" fontId="42" fillId="17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vertical="center" wrapText="1"/>
    </xf>
    <xf numFmtId="0" fontId="42" fillId="9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vertical="center" wrapText="1"/>
    </xf>
    <xf numFmtId="0" fontId="42" fillId="10" borderId="2" xfId="0" applyFont="1" applyFill="1" applyBorder="1" applyAlignment="1">
      <alignment horizontal="center" vertical="center"/>
    </xf>
    <xf numFmtId="0" fontId="52" fillId="23" borderId="2" xfId="0" applyFont="1" applyFill="1" applyBorder="1" applyAlignment="1">
      <alignment horizontal="left" vertical="center" wrapText="1"/>
    </xf>
    <xf numFmtId="0" fontId="54" fillId="0" borderId="0" xfId="0" applyFont="1"/>
    <xf numFmtId="0" fontId="55" fillId="0" borderId="0" xfId="0" applyFont="1"/>
    <xf numFmtId="0" fontId="2" fillId="21" borderId="2" xfId="0" applyFont="1" applyFill="1" applyBorder="1" applyAlignment="1">
      <alignment horizontal="center" wrapText="1"/>
    </xf>
    <xf numFmtId="0" fontId="17" fillId="11" borderId="2" xfId="0" applyFont="1" applyFill="1" applyBorder="1" applyAlignment="1">
      <alignment horizontal="center" wrapText="1"/>
    </xf>
    <xf numFmtId="0" fontId="37" fillId="11" borderId="2" xfId="0" applyFont="1" applyFill="1" applyBorder="1" applyAlignment="1">
      <alignment horizontal="left" wrapText="1"/>
    </xf>
    <xf numFmtId="0" fontId="18" fillId="12" borderId="2" xfId="0" applyFont="1" applyFill="1" applyBorder="1" applyAlignment="1">
      <alignment horizontal="center" wrapText="1"/>
    </xf>
    <xf numFmtId="0" fontId="38" fillId="12" borderId="2" xfId="0" applyFont="1" applyFill="1" applyBorder="1" applyAlignment="1">
      <alignment horizontal="left" wrapText="1"/>
    </xf>
    <xf numFmtId="0" fontId="19" fillId="13" borderId="2" xfId="0" applyFont="1" applyFill="1" applyBorder="1" applyAlignment="1">
      <alignment horizontal="center" wrapText="1"/>
    </xf>
    <xf numFmtId="0" fontId="39" fillId="13" borderId="2" xfId="0" applyFont="1" applyFill="1" applyBorder="1" applyAlignment="1">
      <alignment horizontal="left" wrapText="1"/>
    </xf>
    <xf numFmtId="0" fontId="20" fillId="14" borderId="2" xfId="0" applyFont="1" applyFill="1" applyBorder="1" applyAlignment="1">
      <alignment horizontal="center" wrapText="1"/>
    </xf>
    <xf numFmtId="0" fontId="40" fillId="14" borderId="2" xfId="0" applyFont="1" applyFill="1" applyBorder="1" applyAlignment="1">
      <alignment horizontal="left" wrapText="1"/>
    </xf>
    <xf numFmtId="0" fontId="32" fillId="22" borderId="2" xfId="0" applyFont="1" applyFill="1" applyBorder="1" applyAlignment="1">
      <alignment horizontal="center" wrapText="1"/>
    </xf>
    <xf numFmtId="0" fontId="42" fillId="20" borderId="2" xfId="0" applyFont="1" applyFill="1" applyBorder="1" applyAlignment="1">
      <alignment horizontal="left" wrapText="1"/>
    </xf>
    <xf numFmtId="0" fontId="13" fillId="20" borderId="2" xfId="0" applyFont="1" applyFill="1" applyBorder="1" applyAlignment="1">
      <alignment horizontal="left" wrapText="1"/>
    </xf>
    <xf numFmtId="0" fontId="0" fillId="0" borderId="2" xfId="0" applyBorder="1"/>
    <xf numFmtId="0" fontId="42" fillId="16" borderId="2" xfId="0" applyFont="1" applyFill="1" applyBorder="1" applyAlignment="1">
      <alignment horizontal="left" wrapText="1"/>
    </xf>
    <xf numFmtId="0" fontId="13" fillId="16" borderId="2" xfId="0" applyFont="1" applyFill="1" applyBorder="1" applyAlignment="1">
      <alignment horizontal="left" wrapText="1"/>
    </xf>
    <xf numFmtId="0" fontId="0" fillId="20" borderId="2" xfId="0" applyFill="1" applyBorder="1"/>
    <xf numFmtId="0" fontId="0" fillId="16" borderId="2" xfId="0" applyFill="1" applyBorder="1"/>
    <xf numFmtId="0" fontId="42" fillId="9" borderId="2" xfId="0" applyFont="1" applyFill="1" applyBorder="1" applyAlignment="1">
      <alignment horizontal="left" wrapText="1"/>
    </xf>
    <xf numFmtId="0" fontId="13" fillId="9" borderId="2" xfId="0" applyFont="1" applyFill="1" applyBorder="1" applyAlignment="1">
      <alignment horizontal="left" wrapText="1"/>
    </xf>
    <xf numFmtId="0" fontId="42" fillId="17" borderId="2" xfId="0" applyFont="1" applyFill="1" applyBorder="1" applyAlignment="1">
      <alignment horizontal="left" wrapText="1"/>
    </xf>
    <xf numFmtId="0" fontId="13" fillId="17" borderId="2" xfId="0" applyFont="1" applyFill="1" applyBorder="1" applyAlignment="1">
      <alignment horizontal="left" wrapText="1"/>
    </xf>
    <xf numFmtId="0" fontId="0" fillId="24" borderId="4" xfId="0" applyFill="1" applyBorder="1" applyAlignment="1">
      <alignment horizontal="left" vertical="top" wrapText="1"/>
    </xf>
    <xf numFmtId="0" fontId="41" fillId="3" borderId="1" xfId="0" applyFont="1" applyFill="1" applyBorder="1" applyAlignment="1">
      <alignment horizontal="left" vertical="center"/>
    </xf>
    <xf numFmtId="0" fontId="41" fillId="4" borderId="1" xfId="0" applyFont="1" applyFill="1" applyBorder="1" applyAlignment="1">
      <alignment horizontal="left" vertical="center"/>
    </xf>
    <xf numFmtId="0" fontId="41" fillId="5" borderId="1" xfId="0" applyFont="1" applyFill="1" applyBorder="1" applyAlignment="1">
      <alignment horizontal="left" vertical="center"/>
    </xf>
    <xf numFmtId="0" fontId="41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  <xf numFmtId="164" fontId="45" fillId="23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/>
    </xf>
    <xf numFmtId="0" fontId="18" fillId="12" borderId="1" xfId="0" applyFont="1" applyFill="1" applyBorder="1" applyAlignment="1">
      <alignment horizontal="left" vertical="center"/>
    </xf>
    <xf numFmtId="0" fontId="19" fillId="13" borderId="1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left" vertical="center"/>
    </xf>
    <xf numFmtId="0" fontId="21" fillId="1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wrapText="1"/>
    </xf>
    <xf numFmtId="0" fontId="23" fillId="2" borderId="1" xfId="0" applyFont="1" applyFill="1" applyBorder="1" applyAlignment="1">
      <alignment horizontal="center" wrapText="1"/>
    </xf>
    <xf numFmtId="0" fontId="35" fillId="7" borderId="0" xfId="0" applyFont="1" applyFill="1" applyAlignment="1">
      <alignment horizontal="left"/>
    </xf>
    <xf numFmtId="0" fontId="36" fillId="2" borderId="1" xfId="0" applyFont="1" applyFill="1" applyBorder="1" applyAlignment="1">
      <alignment horizontal="center" wrapText="1"/>
    </xf>
    <xf numFmtId="0" fontId="41" fillId="3" borderId="1" xfId="0" applyFont="1" applyFill="1" applyBorder="1" applyAlignment="1">
      <alignment horizontal="center" wrapText="1"/>
    </xf>
    <xf numFmtId="0" fontId="56" fillId="24" borderId="4" xfId="0" applyFont="1" applyFill="1" applyBorder="1" applyAlignment="1">
      <alignment horizontal="left" vertical="top" wrapText="1"/>
    </xf>
    <xf numFmtId="164" fontId="45" fillId="25" borderId="1" xfId="0" applyNumberFormat="1" applyFont="1" applyFill="1" applyBorder="1" applyAlignment="1">
      <alignment horizontal="center" vertical="center"/>
    </xf>
    <xf numFmtId="0" fontId="55" fillId="24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62"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  <dxf>
      <font>
        <b/>
        <sz val="8"/>
        <color rgb="FF375623"/>
        <name val="Arial"/>
        <charset val="1"/>
      </font>
      <fill>
        <patternFill>
          <bgColor rgb="FFE2EFDA"/>
        </patternFill>
      </fill>
    </dxf>
    <dxf>
      <font>
        <b/>
        <sz val="8"/>
        <color rgb="FFC0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C00000"/>
        <name val="Arial"/>
        <charset val="1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5CC"/>
      <rgbColor rgb="FFFF00FF"/>
      <rgbColor rgb="FF00FFFF"/>
      <rgbColor rgb="FF800000"/>
      <rgbColor rgb="FF008000"/>
      <rgbColor rgb="FF000080"/>
      <rgbColor rgb="FF7F6000"/>
      <rgbColor rgb="FF800080"/>
      <rgbColor rgb="FF2E75B6"/>
      <rgbColor rgb="FFBFBFBF"/>
      <rgbColor rgb="FF595959"/>
      <rgbColor rgb="FFE2EFDA"/>
      <rgbColor rgb="FF993366"/>
      <rgbColor rgb="FFFFFFD9"/>
      <rgbColor rgb="FFDDEEFF"/>
      <rgbColor rgb="FF660066"/>
      <rgbColor rgb="FFF5F5F5"/>
      <rgbColor rgb="FF0070C0"/>
      <rgbColor rgb="FFBDD7EE"/>
      <rgbColor rgb="FF000080"/>
      <rgbColor rgb="FFFF00FF"/>
      <rgbColor rgb="FFFDE9D9"/>
      <rgbColor rgb="FF00FFFF"/>
      <rgbColor rgb="FF800080"/>
      <rgbColor rgb="FF800000"/>
      <rgbColor rgb="FF008080"/>
      <rgbColor rgb="FF0000FF"/>
      <rgbColor rgb="FF00CCFF"/>
      <rgbColor rgb="FFE2EFF1"/>
      <rgbColor rgb="FFE2F0D9"/>
      <rgbColor rgb="FFFFFF99"/>
      <rgbColor rgb="FFC0C8D0"/>
      <rgbColor rgb="FFFFCCCC"/>
      <rgbColor rgb="FFDEEAF1"/>
      <rgbColor rgb="FFFFD8B2"/>
      <rgbColor rgb="FF4472C4"/>
      <rgbColor rgb="FFF0F7FF"/>
      <rgbColor rgb="FFEBF5EB"/>
      <rgbColor rgb="FFFCE4D6"/>
      <rgbColor rgb="FFFF9900"/>
      <rgbColor rgb="FFC55A11"/>
      <rgbColor rgb="FF5B5EA6"/>
      <rgbColor rgb="FFEEEEFF"/>
      <rgbColor rgb="FF002060"/>
      <rgbColor rgb="FF339966"/>
      <rgbColor rgb="FF003300"/>
      <rgbColor rgb="FF375623"/>
      <rgbColor rgb="FF833C00"/>
      <rgbColor rgb="FF993366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9"/>
  <sheetViews>
    <sheetView topLeftCell="A3" zoomScaleNormal="100" workbookViewId="0">
      <selection activeCell="H12" sqref="H12"/>
    </sheetView>
  </sheetViews>
  <sheetFormatPr defaultColWidth="8.6640625" defaultRowHeight="14.4" x14ac:dyDescent="0.3"/>
  <cols>
    <col min="1" max="1" width="3" customWidth="1"/>
    <col min="2" max="2" width="42" customWidth="1"/>
    <col min="3" max="4" width="12" customWidth="1"/>
    <col min="5" max="8" width="11" customWidth="1"/>
    <col min="9" max="9" width="13" customWidth="1"/>
    <col min="10" max="10" width="14" customWidth="1"/>
  </cols>
  <sheetData>
    <row r="1" spans="2:10" ht="42" customHeight="1" x14ac:dyDescent="0.3">
      <c r="B1" s="126" t="s">
        <v>0</v>
      </c>
      <c r="C1" s="126"/>
      <c r="D1" s="126"/>
      <c r="E1" s="126"/>
      <c r="F1" s="126"/>
      <c r="G1" s="126"/>
      <c r="H1" s="126"/>
      <c r="I1" s="126"/>
      <c r="J1" s="126"/>
    </row>
    <row r="2" spans="2:10" ht="24" customHeight="1" x14ac:dyDescent="0.3">
      <c r="B2" s="127" t="s">
        <v>1</v>
      </c>
      <c r="C2" s="127"/>
      <c r="D2" s="128" t="s">
        <v>2</v>
      </c>
      <c r="E2" s="128"/>
      <c r="F2" s="129" t="s">
        <v>3</v>
      </c>
      <c r="G2" s="129"/>
      <c r="H2" s="130" t="s">
        <v>4</v>
      </c>
      <c r="I2" s="130"/>
    </row>
    <row r="3" spans="2:10" ht="45.75" customHeight="1" x14ac:dyDescent="0.3">
      <c r="B3" s="121">
        <v>28</v>
      </c>
      <c r="C3" s="121"/>
      <c r="D3" s="122">
        <v>5</v>
      </c>
      <c r="E3" s="122"/>
      <c r="F3" s="123">
        <v>33</v>
      </c>
      <c r="G3" s="123"/>
      <c r="H3" s="124">
        <v>40</v>
      </c>
      <c r="I3" s="124"/>
    </row>
    <row r="4" spans="2:10" ht="24" customHeight="1" x14ac:dyDescent="0.3">
      <c r="B4" s="125"/>
      <c r="C4" s="125"/>
      <c r="D4" s="125"/>
      <c r="E4" s="125"/>
      <c r="F4" s="125"/>
      <c r="G4" s="125"/>
      <c r="H4" s="125"/>
      <c r="I4" s="125"/>
    </row>
    <row r="5" spans="2:10" ht="27.75" customHeight="1" x14ac:dyDescent="0.3">
      <c r="B5" s="1" t="s">
        <v>5</v>
      </c>
      <c r="C5" s="2" t="s">
        <v>6</v>
      </c>
      <c r="D5" s="3" t="s">
        <v>7</v>
      </c>
      <c r="E5" s="4" t="s">
        <v>8</v>
      </c>
      <c r="F5" s="5" t="s">
        <v>9</v>
      </c>
      <c r="G5" s="6" t="s">
        <v>10</v>
      </c>
      <c r="H5" s="7" t="s">
        <v>11</v>
      </c>
      <c r="I5" s="2" t="s">
        <v>12</v>
      </c>
      <c r="J5" s="2" t="s">
        <v>13</v>
      </c>
    </row>
    <row r="6" spans="2:10" ht="18" customHeight="1" x14ac:dyDescent="0.3">
      <c r="B6" s="116" t="s">
        <v>14</v>
      </c>
      <c r="C6" s="116"/>
      <c r="D6" s="116"/>
      <c r="E6" s="116"/>
      <c r="F6" s="116"/>
      <c r="G6" s="116"/>
      <c r="H6" s="116"/>
      <c r="I6" s="116"/>
      <c r="J6" s="116"/>
    </row>
    <row r="7" spans="2:10" ht="21.75" customHeight="1" x14ac:dyDescent="0.3">
      <c r="B7" s="8" t="s">
        <v>15</v>
      </c>
      <c r="C7" s="9">
        <f>Master!D35</f>
        <v>468</v>
      </c>
      <c r="D7" s="9">
        <f>Master!E35</f>
        <v>779</v>
      </c>
      <c r="E7" s="9">
        <f>Master!F35</f>
        <v>0</v>
      </c>
      <c r="F7" s="9">
        <f>Master!G35</f>
        <v>0</v>
      </c>
      <c r="G7" s="9">
        <f>Master!H35</f>
        <v>0</v>
      </c>
      <c r="H7" s="9">
        <f>Master!I35</f>
        <v>0</v>
      </c>
      <c r="I7" s="10">
        <f t="shared" ref="I7:I19" si="0">(D7+E7)-C7</f>
        <v>311</v>
      </c>
      <c r="J7" s="11" t="str">
        <f t="shared" ref="J7:J19" si="1">IF(C7=0,IF(D7+E7=0,"NO DATA","UNCONTRACTED"),IF(I7&lt;0,"⚠ SHORT",IF(I7=0,"✔ MET","✚ SURPLUS")))</f>
        <v>✚ SURPLUS</v>
      </c>
    </row>
    <row r="8" spans="2:10" ht="21.75" customHeight="1" x14ac:dyDescent="0.3">
      <c r="B8" s="8" t="s">
        <v>16</v>
      </c>
      <c r="C8" s="9">
        <f>Master!J35</f>
        <v>338</v>
      </c>
      <c r="D8" s="9">
        <f>Master!K35</f>
        <v>347</v>
      </c>
      <c r="E8" s="9">
        <f>Master!L35</f>
        <v>0</v>
      </c>
      <c r="F8" s="9">
        <f>Master!M35</f>
        <v>0</v>
      </c>
      <c r="G8" s="9">
        <f>Master!N35</f>
        <v>0</v>
      </c>
      <c r="H8" s="9">
        <f>Master!O35</f>
        <v>8</v>
      </c>
      <c r="I8" s="10">
        <f t="shared" si="0"/>
        <v>9</v>
      </c>
      <c r="J8" s="11" t="str">
        <f t="shared" si="1"/>
        <v>✚ SURPLUS</v>
      </c>
    </row>
    <row r="9" spans="2:10" ht="21.75" customHeight="1" x14ac:dyDescent="0.3">
      <c r="B9" s="8" t="s">
        <v>17</v>
      </c>
      <c r="C9" s="9">
        <f>Master!P35</f>
        <v>0</v>
      </c>
      <c r="D9" s="9">
        <f>Master!Q35</f>
        <v>0</v>
      </c>
      <c r="E9" s="9">
        <f>Master!R35</f>
        <v>0</v>
      </c>
      <c r="F9" s="9">
        <f>Master!S35</f>
        <v>0</v>
      </c>
      <c r="G9" s="9">
        <f>Master!T35</f>
        <v>0</v>
      </c>
      <c r="H9" s="9">
        <f>Master!U35</f>
        <v>0</v>
      </c>
      <c r="I9" s="10">
        <f t="shared" si="0"/>
        <v>0</v>
      </c>
      <c r="J9" s="11" t="str">
        <f t="shared" si="1"/>
        <v>NO DATA</v>
      </c>
    </row>
    <row r="10" spans="2:10" ht="21.75" customHeight="1" x14ac:dyDescent="0.3">
      <c r="B10" s="8" t="s">
        <v>18</v>
      </c>
      <c r="C10" s="9">
        <f>Master!V35</f>
        <v>534</v>
      </c>
      <c r="D10" s="9">
        <f>Master!W35</f>
        <v>387</v>
      </c>
      <c r="E10" s="9">
        <f>Master!X35</f>
        <v>0</v>
      </c>
      <c r="F10" s="9">
        <f>Master!Y35</f>
        <v>0</v>
      </c>
      <c r="G10" s="9">
        <f>Master!Z35</f>
        <v>6</v>
      </c>
      <c r="H10" s="9">
        <f>Master!AA35</f>
        <v>14</v>
      </c>
      <c r="I10" s="10">
        <f t="shared" si="0"/>
        <v>-147</v>
      </c>
      <c r="J10" s="11" t="str">
        <f t="shared" si="1"/>
        <v>⚠ SHORT</v>
      </c>
    </row>
    <row r="11" spans="2:10" ht="21.75" customHeight="1" x14ac:dyDescent="0.3">
      <c r="B11" s="8" t="s">
        <v>19</v>
      </c>
      <c r="C11" s="9">
        <f>Master!AB35</f>
        <v>728</v>
      </c>
      <c r="D11" s="9">
        <f>Master!AC35</f>
        <v>815</v>
      </c>
      <c r="E11" s="9">
        <f>Master!AD35</f>
        <v>0</v>
      </c>
      <c r="F11" s="9">
        <f>Master!AE35</f>
        <v>0</v>
      </c>
      <c r="G11" s="9">
        <f>Master!AF35</f>
        <v>4</v>
      </c>
      <c r="H11" s="9">
        <f>Master!AG35</f>
        <v>0</v>
      </c>
      <c r="I11" s="10">
        <f t="shared" si="0"/>
        <v>87</v>
      </c>
      <c r="J11" s="11" t="str">
        <f t="shared" si="1"/>
        <v>✚ SURPLUS</v>
      </c>
    </row>
    <row r="12" spans="2:10" ht="21.75" customHeight="1" x14ac:dyDescent="0.3">
      <c r="B12" s="8" t="s">
        <v>20</v>
      </c>
      <c r="C12" s="9">
        <f>Master!AH35</f>
        <v>2250</v>
      </c>
      <c r="D12" s="9">
        <f>Master!AI35</f>
        <v>1518</v>
      </c>
      <c r="E12" s="9">
        <f>Master!AJ35</f>
        <v>0</v>
      </c>
      <c r="F12" s="9">
        <f>Master!AK35</f>
        <v>0</v>
      </c>
      <c r="G12" s="9">
        <f>Master!AL35</f>
        <v>59</v>
      </c>
      <c r="H12" s="9">
        <f>Master!AM35</f>
        <v>0</v>
      </c>
      <c r="I12" s="10">
        <f t="shared" si="0"/>
        <v>-732</v>
      </c>
      <c r="J12" s="11" t="str">
        <f t="shared" si="1"/>
        <v>⚠ SHORT</v>
      </c>
    </row>
    <row r="13" spans="2:10" ht="21.75" customHeight="1" x14ac:dyDescent="0.3">
      <c r="B13" s="8" t="s">
        <v>21</v>
      </c>
      <c r="C13" s="9">
        <f>Master!AN35</f>
        <v>268</v>
      </c>
      <c r="D13" s="9">
        <f>Master!AO35</f>
        <v>265</v>
      </c>
      <c r="E13" s="9">
        <f>Master!AP35</f>
        <v>0</v>
      </c>
      <c r="F13" s="9">
        <f>Master!AQ35</f>
        <v>0</v>
      </c>
      <c r="G13" s="9">
        <f>Master!AR35</f>
        <v>0</v>
      </c>
      <c r="H13" s="9">
        <f>Master!AS35</f>
        <v>0</v>
      </c>
      <c r="I13" s="10">
        <f t="shared" si="0"/>
        <v>-3</v>
      </c>
      <c r="J13" s="11" t="str">
        <f t="shared" si="1"/>
        <v>⚠ SHORT</v>
      </c>
    </row>
    <row r="14" spans="2:10" ht="21.75" customHeight="1" x14ac:dyDescent="0.3">
      <c r="B14" s="8" t="s">
        <v>22</v>
      </c>
      <c r="C14" s="9">
        <f>Master!AT35</f>
        <v>210</v>
      </c>
      <c r="D14" s="9">
        <f>Master!AU35</f>
        <v>207</v>
      </c>
      <c r="E14" s="9">
        <f>Master!AV35</f>
        <v>0</v>
      </c>
      <c r="F14" s="9">
        <f>Master!AW35</f>
        <v>0</v>
      </c>
      <c r="G14" s="9">
        <f>Master!AX35</f>
        <v>0</v>
      </c>
      <c r="H14" s="9">
        <f>Master!AY35</f>
        <v>0</v>
      </c>
      <c r="I14" s="10">
        <f t="shared" si="0"/>
        <v>-3</v>
      </c>
      <c r="J14" s="11" t="str">
        <f t="shared" si="1"/>
        <v>⚠ SHORT</v>
      </c>
    </row>
    <row r="15" spans="2:10" ht="21.75" customHeight="1" x14ac:dyDescent="0.3">
      <c r="B15" s="8" t="s">
        <v>23</v>
      </c>
      <c r="C15" s="9">
        <f>Master!AZ35</f>
        <v>208</v>
      </c>
      <c r="D15" s="9">
        <f>Master!BA35</f>
        <v>1080</v>
      </c>
      <c r="E15" s="9">
        <f>Master!BB35</f>
        <v>0</v>
      </c>
      <c r="F15" s="9">
        <f>Master!BC35</f>
        <v>0</v>
      </c>
      <c r="G15" s="9">
        <f>Master!BD35</f>
        <v>155</v>
      </c>
      <c r="H15" s="9">
        <f>Master!BE35</f>
        <v>0</v>
      </c>
      <c r="I15" s="10">
        <f t="shared" si="0"/>
        <v>872</v>
      </c>
      <c r="J15" s="11" t="str">
        <f t="shared" si="1"/>
        <v>✚ SURPLUS</v>
      </c>
    </row>
    <row r="16" spans="2:10" ht="21.75" customHeight="1" x14ac:dyDescent="0.3">
      <c r="B16" s="8" t="s">
        <v>24</v>
      </c>
      <c r="C16" s="9">
        <f>Master!BF35</f>
        <v>3941</v>
      </c>
      <c r="D16" s="9">
        <f>Master!BG35</f>
        <v>2745</v>
      </c>
      <c r="E16" s="9">
        <f>Master!BH35</f>
        <v>0</v>
      </c>
      <c r="F16" s="9">
        <f>Master!BI35</f>
        <v>0</v>
      </c>
      <c r="G16" s="9">
        <f>Master!BJ35</f>
        <v>301</v>
      </c>
      <c r="H16" s="9">
        <f>Master!BK35</f>
        <v>70</v>
      </c>
      <c r="I16" s="10">
        <f t="shared" si="0"/>
        <v>-1196</v>
      </c>
      <c r="J16" s="11" t="str">
        <f t="shared" si="1"/>
        <v>⚠ SHORT</v>
      </c>
    </row>
    <row r="17" spans="2:10" ht="21.75" customHeight="1" x14ac:dyDescent="0.3">
      <c r="B17" s="8" t="s">
        <v>25</v>
      </c>
      <c r="C17" s="9">
        <f>Master!BL35</f>
        <v>522</v>
      </c>
      <c r="D17" s="9">
        <f>Master!BM35</f>
        <v>1126</v>
      </c>
      <c r="E17" s="9">
        <f>Master!BN35</f>
        <v>0</v>
      </c>
      <c r="F17" s="9">
        <f>Master!BO35</f>
        <v>0</v>
      </c>
      <c r="G17" s="9">
        <f>Master!BP35</f>
        <v>45</v>
      </c>
      <c r="H17" s="9">
        <f>Master!BQ35</f>
        <v>28</v>
      </c>
      <c r="I17" s="10">
        <f t="shared" si="0"/>
        <v>604</v>
      </c>
      <c r="J17" s="11" t="str">
        <f t="shared" si="1"/>
        <v>✚ SURPLUS</v>
      </c>
    </row>
    <row r="18" spans="2:10" ht="21.75" customHeight="1" x14ac:dyDescent="0.3">
      <c r="B18" s="8" t="s">
        <v>26</v>
      </c>
      <c r="C18" s="9">
        <f>Master!BR35</f>
        <v>364</v>
      </c>
      <c r="D18" s="9">
        <f>Master!BS35</f>
        <v>197</v>
      </c>
      <c r="E18" s="9">
        <f>Master!BT35</f>
        <v>0</v>
      </c>
      <c r="F18" s="9">
        <f>Master!BU35</f>
        <v>0</v>
      </c>
      <c r="G18" s="9">
        <f>Master!BV35</f>
        <v>0</v>
      </c>
      <c r="H18" s="9">
        <f>Master!BW35</f>
        <v>0</v>
      </c>
      <c r="I18" s="10">
        <f t="shared" si="0"/>
        <v>-167</v>
      </c>
      <c r="J18" s="11" t="str">
        <f t="shared" si="1"/>
        <v>⚠ SHORT</v>
      </c>
    </row>
    <row r="19" spans="2:10" ht="21.75" customHeight="1" x14ac:dyDescent="0.3">
      <c r="B19" s="8" t="s">
        <v>27</v>
      </c>
      <c r="C19" s="9">
        <f>Master!BX35</f>
        <v>350</v>
      </c>
      <c r="D19" s="9">
        <f>Master!BY35</f>
        <v>411</v>
      </c>
      <c r="E19" s="9">
        <f>Master!BZ35</f>
        <v>0</v>
      </c>
      <c r="F19" s="9">
        <f>Master!CA35</f>
        <v>0</v>
      </c>
      <c r="G19" s="9">
        <f>Master!CB35</f>
        <v>0</v>
      </c>
      <c r="H19" s="9">
        <f>Master!CC35</f>
        <v>0</v>
      </c>
      <c r="I19" s="10">
        <f t="shared" si="0"/>
        <v>61</v>
      </c>
      <c r="J19" s="11" t="str">
        <f t="shared" si="1"/>
        <v>✚ SURPLUS</v>
      </c>
    </row>
    <row r="20" spans="2:10" ht="18" customHeight="1" x14ac:dyDescent="0.3">
      <c r="B20" s="117" t="s">
        <v>28</v>
      </c>
      <c r="C20" s="117"/>
      <c r="D20" s="117"/>
      <c r="E20" s="117"/>
      <c r="F20" s="117"/>
      <c r="G20" s="117"/>
      <c r="H20" s="117"/>
      <c r="I20" s="117"/>
      <c r="J20" s="117"/>
    </row>
    <row r="21" spans="2:10" ht="21.75" customHeight="1" x14ac:dyDescent="0.3">
      <c r="B21" s="12" t="s">
        <v>29</v>
      </c>
      <c r="C21" s="13">
        <f>Master!CD35</f>
        <v>0</v>
      </c>
      <c r="D21" s="13">
        <f>Master!CE35</f>
        <v>96</v>
      </c>
      <c r="E21" s="13">
        <f>Master!CF35</f>
        <v>0</v>
      </c>
      <c r="F21" s="13">
        <f>Master!CG35</f>
        <v>0</v>
      </c>
      <c r="G21" s="13">
        <f>Master!CH35</f>
        <v>0</v>
      </c>
      <c r="H21" s="13">
        <f>Master!CI35</f>
        <v>0</v>
      </c>
      <c r="I21" s="14">
        <f t="shared" ref="I21:I26" si="2">(D21+E21)-C21</f>
        <v>96</v>
      </c>
      <c r="J21" s="15" t="str">
        <f t="shared" ref="J21:J26" si="3">IF(C21=0,IF(D21+E21=0,"NO DATA","UNCONTRACTED"),IF(I21&lt;0,"⚠ SHORT",IF(I21=0,"✔ MET","✚ SURPLUS")))</f>
        <v>UNCONTRACTED</v>
      </c>
    </row>
    <row r="22" spans="2:10" ht="21.75" customHeight="1" x14ac:dyDescent="0.3">
      <c r="B22" s="12" t="s">
        <v>30</v>
      </c>
      <c r="C22" s="13">
        <f>Master!CJ35</f>
        <v>205</v>
      </c>
      <c r="D22" s="13">
        <f>Master!CK35</f>
        <v>113</v>
      </c>
      <c r="E22" s="13">
        <f>Master!CL35</f>
        <v>0</v>
      </c>
      <c r="F22" s="13">
        <f>Master!CM35</f>
        <v>0</v>
      </c>
      <c r="G22" s="13">
        <f>Master!CN35</f>
        <v>0</v>
      </c>
      <c r="H22" s="13">
        <f>Master!CO35</f>
        <v>25</v>
      </c>
      <c r="I22" s="14">
        <f t="shared" si="2"/>
        <v>-92</v>
      </c>
      <c r="J22" s="15" t="str">
        <f t="shared" si="3"/>
        <v>⚠ SHORT</v>
      </c>
    </row>
    <row r="23" spans="2:10" ht="21.75" customHeight="1" x14ac:dyDescent="0.3">
      <c r="B23" s="12" t="s">
        <v>31</v>
      </c>
      <c r="C23" s="13">
        <f>Master!CP35</f>
        <v>122</v>
      </c>
      <c r="D23" s="13">
        <f>Master!CQ35</f>
        <v>93</v>
      </c>
      <c r="E23" s="13">
        <f>Master!CR35</f>
        <v>0</v>
      </c>
      <c r="F23" s="13">
        <f>Master!CS35</f>
        <v>0</v>
      </c>
      <c r="G23" s="13">
        <f>Master!CT35</f>
        <v>0</v>
      </c>
      <c r="H23" s="13">
        <f>Master!CU35</f>
        <v>0</v>
      </c>
      <c r="I23" s="14">
        <f t="shared" si="2"/>
        <v>-29</v>
      </c>
      <c r="J23" s="15" t="str">
        <f t="shared" si="3"/>
        <v>⚠ SHORT</v>
      </c>
    </row>
    <row r="24" spans="2:10" ht="21.75" customHeight="1" x14ac:dyDescent="0.3">
      <c r="B24" s="12" t="s">
        <v>32</v>
      </c>
      <c r="C24" s="13">
        <f>Master!CV35</f>
        <v>500</v>
      </c>
      <c r="D24" s="13">
        <f>Master!CW35</f>
        <v>224</v>
      </c>
      <c r="E24" s="13">
        <f>Master!CX35</f>
        <v>0</v>
      </c>
      <c r="F24" s="13">
        <f>Master!CY35</f>
        <v>0</v>
      </c>
      <c r="G24" s="13">
        <f>Master!CZ35</f>
        <v>5</v>
      </c>
      <c r="H24" s="13">
        <f>Master!DA35</f>
        <v>0</v>
      </c>
      <c r="I24" s="14">
        <f t="shared" si="2"/>
        <v>-276</v>
      </c>
      <c r="J24" s="15" t="str">
        <f t="shared" si="3"/>
        <v>⚠ SHORT</v>
      </c>
    </row>
    <row r="25" spans="2:10" ht="21.75" customHeight="1" x14ac:dyDescent="0.3">
      <c r="B25" s="12" t="s">
        <v>33</v>
      </c>
      <c r="C25" s="13">
        <f>Master!DB35</f>
        <v>532</v>
      </c>
      <c r="D25" s="13">
        <f>Master!DC35</f>
        <v>447</v>
      </c>
      <c r="E25" s="13">
        <f>Master!DD35</f>
        <v>0</v>
      </c>
      <c r="F25" s="13">
        <f>Master!DE35</f>
        <v>0</v>
      </c>
      <c r="G25" s="13">
        <f>Master!DF35</f>
        <v>15</v>
      </c>
      <c r="H25" s="13">
        <f>Master!DG35</f>
        <v>30</v>
      </c>
      <c r="I25" s="14">
        <f t="shared" si="2"/>
        <v>-85</v>
      </c>
      <c r="J25" s="15" t="str">
        <f t="shared" si="3"/>
        <v>⚠ SHORT</v>
      </c>
    </row>
    <row r="26" spans="2:10" ht="21.75" customHeight="1" x14ac:dyDescent="0.3">
      <c r="B26" s="12" t="s">
        <v>34</v>
      </c>
      <c r="C26" s="13">
        <f>Master!DH35</f>
        <v>132</v>
      </c>
      <c r="D26" s="13">
        <f>Master!DI35</f>
        <v>60</v>
      </c>
      <c r="E26" s="13">
        <f>Master!DJ35</f>
        <v>0</v>
      </c>
      <c r="F26" s="13">
        <f>Master!DK35</f>
        <v>0</v>
      </c>
      <c r="G26" s="13">
        <f>Master!DL35</f>
        <v>0</v>
      </c>
      <c r="H26" s="13">
        <f>Master!DM35</f>
        <v>0</v>
      </c>
      <c r="I26" s="14">
        <f t="shared" si="2"/>
        <v>-72</v>
      </c>
      <c r="J26" s="15" t="str">
        <f t="shared" si="3"/>
        <v>⚠ SHORT</v>
      </c>
    </row>
    <row r="27" spans="2:10" ht="18" customHeight="1" x14ac:dyDescent="0.3">
      <c r="B27" s="118" t="s">
        <v>35</v>
      </c>
      <c r="C27" s="118"/>
      <c r="D27" s="118"/>
      <c r="E27" s="118"/>
      <c r="F27" s="118"/>
      <c r="G27" s="118"/>
      <c r="H27" s="118"/>
      <c r="I27" s="118"/>
      <c r="J27" s="118"/>
    </row>
    <row r="28" spans="2:10" ht="21.75" customHeight="1" x14ac:dyDescent="0.3">
      <c r="B28" s="16" t="s">
        <v>36</v>
      </c>
      <c r="C28" s="17">
        <f>Master!DN35</f>
        <v>54</v>
      </c>
      <c r="D28" s="17">
        <f>Master!DO35</f>
        <v>62</v>
      </c>
      <c r="E28" s="17">
        <f>Master!DP35</f>
        <v>0</v>
      </c>
      <c r="F28" s="17">
        <f>Master!DQ35</f>
        <v>0</v>
      </c>
      <c r="G28" s="17">
        <f>Master!DR35</f>
        <v>0</v>
      </c>
      <c r="H28" s="17">
        <f>Master!DS35</f>
        <v>0</v>
      </c>
      <c r="I28" s="18">
        <f t="shared" ref="I28:I35" si="4">(D28+E28)-C28</f>
        <v>8</v>
      </c>
      <c r="J28" s="19" t="str">
        <f t="shared" ref="J28:J35" si="5">IF(C28=0,IF(D28+E28=0,"NO DATA","UNCONTRACTED"),IF(I28&lt;0,"⚠ SHORT",IF(I28=0,"✔ MET","✚ SURPLUS")))</f>
        <v>✚ SURPLUS</v>
      </c>
    </row>
    <row r="29" spans="2:10" ht="21.75" customHeight="1" x14ac:dyDescent="0.3">
      <c r="B29" s="16" t="s">
        <v>37</v>
      </c>
      <c r="C29" s="17">
        <f>Master!DT35</f>
        <v>67</v>
      </c>
      <c r="D29" s="17">
        <f>Master!DU35</f>
        <v>45</v>
      </c>
      <c r="E29" s="17">
        <f>Master!DV35</f>
        <v>0</v>
      </c>
      <c r="F29" s="17">
        <f>Master!DW35</f>
        <v>0</v>
      </c>
      <c r="G29" s="17">
        <f>Master!DX35</f>
        <v>0</v>
      </c>
      <c r="H29" s="17">
        <f>Master!DY35</f>
        <v>0</v>
      </c>
      <c r="I29" s="18">
        <f t="shared" si="4"/>
        <v>-22</v>
      </c>
      <c r="J29" s="19" t="str">
        <f t="shared" si="5"/>
        <v>⚠ SHORT</v>
      </c>
    </row>
    <row r="30" spans="2:10" ht="21.75" customHeight="1" x14ac:dyDescent="0.3">
      <c r="B30" s="16" t="s">
        <v>38</v>
      </c>
      <c r="C30" s="17">
        <f>Master!DZ35</f>
        <v>82</v>
      </c>
      <c r="D30" s="17">
        <f>Master!EA35</f>
        <v>97</v>
      </c>
      <c r="E30" s="17">
        <f>Master!EB35</f>
        <v>0</v>
      </c>
      <c r="F30" s="17">
        <f>Master!EC35</f>
        <v>0</v>
      </c>
      <c r="G30" s="17">
        <f>Master!ED35</f>
        <v>0</v>
      </c>
      <c r="H30" s="17">
        <f>Master!EE35</f>
        <v>0</v>
      </c>
      <c r="I30" s="18">
        <f t="shared" si="4"/>
        <v>15</v>
      </c>
      <c r="J30" s="19" t="str">
        <f t="shared" si="5"/>
        <v>✚ SURPLUS</v>
      </c>
    </row>
    <row r="31" spans="2:10" ht="21.75" customHeight="1" x14ac:dyDescent="0.3">
      <c r="B31" s="16" t="s">
        <v>39</v>
      </c>
      <c r="C31" s="17">
        <f>Master!EF35</f>
        <v>324</v>
      </c>
      <c r="D31" s="17">
        <f>Master!EG35</f>
        <v>245</v>
      </c>
      <c r="E31" s="17">
        <f>Master!EH35</f>
        <v>11</v>
      </c>
      <c r="F31" s="17">
        <f>Master!EI35</f>
        <v>0</v>
      </c>
      <c r="G31" s="17">
        <f>Master!EJ35</f>
        <v>0</v>
      </c>
      <c r="H31" s="17">
        <f>Master!EK35</f>
        <v>2</v>
      </c>
      <c r="I31" s="18">
        <f t="shared" si="4"/>
        <v>-68</v>
      </c>
      <c r="J31" s="19" t="str">
        <f t="shared" si="5"/>
        <v>⚠ SHORT</v>
      </c>
    </row>
    <row r="32" spans="2:10" ht="21.75" customHeight="1" x14ac:dyDescent="0.3">
      <c r="B32" s="16" t="s">
        <v>40</v>
      </c>
      <c r="C32" s="17">
        <f>Master!EL35</f>
        <v>258</v>
      </c>
      <c r="D32" s="17">
        <f>Master!EM35</f>
        <v>127</v>
      </c>
      <c r="E32" s="17">
        <f>Master!EN35</f>
        <v>0</v>
      </c>
      <c r="F32" s="17">
        <f>Master!EO35</f>
        <v>0</v>
      </c>
      <c r="G32" s="17">
        <f>Master!EP35</f>
        <v>3</v>
      </c>
      <c r="H32" s="17">
        <f>Master!EQ35</f>
        <v>0</v>
      </c>
      <c r="I32" s="18">
        <f t="shared" si="4"/>
        <v>-131</v>
      </c>
      <c r="J32" s="19" t="str">
        <f t="shared" si="5"/>
        <v>⚠ SHORT</v>
      </c>
    </row>
    <row r="33" spans="2:10" ht="21.75" customHeight="1" x14ac:dyDescent="0.3">
      <c r="B33" s="16" t="s">
        <v>41</v>
      </c>
      <c r="C33" s="17">
        <f>Master!ER35</f>
        <v>26</v>
      </c>
      <c r="D33" s="17">
        <f>Master!ES35</f>
        <v>38</v>
      </c>
      <c r="E33" s="17">
        <f>Master!ET35</f>
        <v>0</v>
      </c>
      <c r="F33" s="17">
        <f>Master!EU35</f>
        <v>0</v>
      </c>
      <c r="G33" s="17">
        <f>Master!EV35</f>
        <v>0</v>
      </c>
      <c r="H33" s="17">
        <f>Master!EW35</f>
        <v>0</v>
      </c>
      <c r="I33" s="18">
        <f t="shared" si="4"/>
        <v>12</v>
      </c>
      <c r="J33" s="19" t="str">
        <f t="shared" si="5"/>
        <v>✚ SURPLUS</v>
      </c>
    </row>
    <row r="34" spans="2:10" ht="21.75" customHeight="1" x14ac:dyDescent="0.3">
      <c r="B34" s="16" t="s">
        <v>42</v>
      </c>
      <c r="C34" s="17">
        <f>Master!EX35</f>
        <v>94</v>
      </c>
      <c r="D34" s="17">
        <f>Master!EY35</f>
        <v>119</v>
      </c>
      <c r="E34" s="17">
        <f>Master!EZ35</f>
        <v>0</v>
      </c>
      <c r="F34" s="17">
        <f>Master!FA35</f>
        <v>0</v>
      </c>
      <c r="G34" s="17">
        <f>Master!FB35</f>
        <v>1</v>
      </c>
      <c r="H34" s="17">
        <f>Master!FC35</f>
        <v>0</v>
      </c>
      <c r="I34" s="18">
        <f t="shared" si="4"/>
        <v>25</v>
      </c>
      <c r="J34" s="19" t="str">
        <f t="shared" si="5"/>
        <v>✚ SURPLUS</v>
      </c>
    </row>
    <row r="35" spans="2:10" ht="21.75" customHeight="1" x14ac:dyDescent="0.3">
      <c r="B35" s="16" t="s">
        <v>43</v>
      </c>
      <c r="C35" s="17">
        <f>Master!FD35</f>
        <v>80</v>
      </c>
      <c r="D35" s="17">
        <f>Master!FE35</f>
        <v>82</v>
      </c>
      <c r="E35" s="17">
        <f>Master!FF35</f>
        <v>1</v>
      </c>
      <c r="F35" s="17">
        <f>Master!FG35</f>
        <v>0</v>
      </c>
      <c r="G35" s="17">
        <f>Master!FH35</f>
        <v>0</v>
      </c>
      <c r="H35" s="17">
        <f>Master!FI35</f>
        <v>0</v>
      </c>
      <c r="I35" s="18">
        <f t="shared" si="4"/>
        <v>3</v>
      </c>
      <c r="J35" s="19" t="str">
        <f t="shared" si="5"/>
        <v>✚ SURPLUS</v>
      </c>
    </row>
    <row r="36" spans="2:10" ht="18" customHeight="1" x14ac:dyDescent="0.3">
      <c r="B36" s="119" t="s">
        <v>44</v>
      </c>
      <c r="C36" s="119"/>
      <c r="D36" s="119"/>
      <c r="E36" s="119"/>
      <c r="F36" s="119"/>
      <c r="G36" s="119"/>
      <c r="H36" s="119"/>
      <c r="I36" s="119"/>
      <c r="J36" s="119"/>
    </row>
    <row r="37" spans="2:10" ht="21.75" customHeight="1" x14ac:dyDescent="0.3">
      <c r="B37" s="20" t="s">
        <v>45</v>
      </c>
      <c r="C37" s="21">
        <f>Master!FJ35</f>
        <v>319</v>
      </c>
      <c r="D37" s="21">
        <f>Master!FK35</f>
        <v>229</v>
      </c>
      <c r="E37" s="21">
        <f>Master!FL35</f>
        <v>0</v>
      </c>
      <c r="F37" s="21">
        <f>Master!FM35</f>
        <v>0</v>
      </c>
      <c r="G37" s="21">
        <f>Master!FN35</f>
        <v>7</v>
      </c>
      <c r="H37" s="21">
        <f>Master!FO35</f>
        <v>0</v>
      </c>
      <c r="I37" s="22">
        <f t="shared" ref="I37:I49" si="6">(D37+E37)-C37</f>
        <v>-90</v>
      </c>
      <c r="J37" s="23" t="str">
        <f t="shared" ref="J37:J49" si="7">IF(C37=0,IF(D37+E37=0,"NO DATA","UNCONTRACTED"),IF(I37&lt;0,"⚠ SHORT",IF(I37=0,"✔ MET","✚ SURPLUS")))</f>
        <v>⚠ SHORT</v>
      </c>
    </row>
    <row r="38" spans="2:10" ht="21.75" customHeight="1" x14ac:dyDescent="0.3">
      <c r="B38" s="20" t="s">
        <v>46</v>
      </c>
      <c r="C38" s="21">
        <f>Master!FP35</f>
        <v>4</v>
      </c>
      <c r="D38" s="21">
        <f>Master!FQ35</f>
        <v>2</v>
      </c>
      <c r="E38" s="21">
        <f>Master!FR35</f>
        <v>0</v>
      </c>
      <c r="F38" s="21">
        <f>Master!FS35</f>
        <v>0</v>
      </c>
      <c r="G38" s="21">
        <f>Master!FT35</f>
        <v>0</v>
      </c>
      <c r="H38" s="21">
        <f>Master!FU35</f>
        <v>6</v>
      </c>
      <c r="I38" s="22">
        <f t="shared" si="6"/>
        <v>-2</v>
      </c>
      <c r="J38" s="23" t="str">
        <f t="shared" si="7"/>
        <v>⚠ SHORT</v>
      </c>
    </row>
    <row r="39" spans="2:10" ht="21.75" customHeight="1" x14ac:dyDescent="0.3">
      <c r="B39" s="20" t="s">
        <v>47</v>
      </c>
      <c r="C39" s="21">
        <f>Master!FV35</f>
        <v>0</v>
      </c>
      <c r="D39" s="21">
        <f>Master!FW35</f>
        <v>2</v>
      </c>
      <c r="E39" s="21">
        <f>Master!FX35</f>
        <v>0</v>
      </c>
      <c r="F39" s="21">
        <f>Master!FY35</f>
        <v>0</v>
      </c>
      <c r="G39" s="21">
        <f>Master!FZ35</f>
        <v>0</v>
      </c>
      <c r="H39" s="21">
        <f>Master!GA35</f>
        <v>0</v>
      </c>
      <c r="I39" s="22">
        <f t="shared" si="6"/>
        <v>2</v>
      </c>
      <c r="J39" s="23" t="str">
        <f t="shared" si="7"/>
        <v>UNCONTRACTED</v>
      </c>
    </row>
    <row r="40" spans="2:10" ht="21.75" customHeight="1" x14ac:dyDescent="0.3">
      <c r="B40" s="20" t="s">
        <v>48</v>
      </c>
      <c r="C40" s="21">
        <f>Master!GB35</f>
        <v>0</v>
      </c>
      <c r="D40" s="21">
        <f>Master!GC35</f>
        <v>1</v>
      </c>
      <c r="E40" s="21">
        <f>Master!GD35</f>
        <v>0</v>
      </c>
      <c r="F40" s="21">
        <f>Master!GE35</f>
        <v>0</v>
      </c>
      <c r="G40" s="21">
        <f>Master!GF35</f>
        <v>0</v>
      </c>
      <c r="H40" s="21">
        <f>Master!GG35</f>
        <v>0</v>
      </c>
      <c r="I40" s="22">
        <f t="shared" si="6"/>
        <v>1</v>
      </c>
      <c r="J40" s="23" t="str">
        <f t="shared" si="7"/>
        <v>UNCONTRACTED</v>
      </c>
    </row>
    <row r="41" spans="2:10" ht="21.75" customHeight="1" x14ac:dyDescent="0.3">
      <c r="B41" s="20" t="s">
        <v>49</v>
      </c>
      <c r="C41" s="21">
        <f>Master!GH35</f>
        <v>0</v>
      </c>
      <c r="D41" s="21">
        <f>Master!GI35</f>
        <v>6</v>
      </c>
      <c r="E41" s="21">
        <f>Master!GJ35</f>
        <v>0</v>
      </c>
      <c r="F41" s="21">
        <f>Master!GK35</f>
        <v>0</v>
      </c>
      <c r="G41" s="21">
        <f>Master!GL35</f>
        <v>0</v>
      </c>
      <c r="H41" s="21">
        <f>Master!GM35</f>
        <v>2</v>
      </c>
      <c r="I41" s="22">
        <f t="shared" si="6"/>
        <v>6</v>
      </c>
      <c r="J41" s="23" t="str">
        <f t="shared" si="7"/>
        <v>UNCONTRACTED</v>
      </c>
    </row>
    <row r="42" spans="2:10" ht="21.75" customHeight="1" x14ac:dyDescent="0.3">
      <c r="B42" s="20" t="s">
        <v>50</v>
      </c>
      <c r="C42" s="21">
        <f>Master!GN35</f>
        <v>13</v>
      </c>
      <c r="D42" s="21">
        <f>Master!GO35</f>
        <v>16</v>
      </c>
      <c r="E42" s="21">
        <f>Master!GP35</f>
        <v>0</v>
      </c>
      <c r="F42" s="21">
        <f>Master!GQ35</f>
        <v>0</v>
      </c>
      <c r="G42" s="21">
        <f>Master!GR35</f>
        <v>0</v>
      </c>
      <c r="H42" s="21">
        <f>Master!GS35</f>
        <v>0</v>
      </c>
      <c r="I42" s="22">
        <f t="shared" si="6"/>
        <v>3</v>
      </c>
      <c r="J42" s="23" t="str">
        <f t="shared" si="7"/>
        <v>✚ SURPLUS</v>
      </c>
    </row>
    <row r="43" spans="2:10" ht="21.75" customHeight="1" x14ac:dyDescent="0.3">
      <c r="B43" s="20" t="s">
        <v>51</v>
      </c>
      <c r="C43" s="21">
        <f>Master!GT35</f>
        <v>0</v>
      </c>
      <c r="D43" s="21">
        <f>Master!GU35</f>
        <v>2</v>
      </c>
      <c r="E43" s="21">
        <f>Master!GV35</f>
        <v>0</v>
      </c>
      <c r="F43" s="21">
        <f>Master!GW35</f>
        <v>0</v>
      </c>
      <c r="G43" s="21">
        <f>Master!GX35</f>
        <v>0</v>
      </c>
      <c r="H43" s="21">
        <f>Master!GY35</f>
        <v>0</v>
      </c>
      <c r="I43" s="22">
        <f t="shared" si="6"/>
        <v>2</v>
      </c>
      <c r="J43" s="23" t="str">
        <f t="shared" si="7"/>
        <v>UNCONTRACTED</v>
      </c>
    </row>
    <row r="44" spans="2:10" ht="21.75" customHeight="1" x14ac:dyDescent="0.3">
      <c r="B44" s="20" t="s">
        <v>52</v>
      </c>
      <c r="C44" s="21">
        <f>Master!GZ35</f>
        <v>2</v>
      </c>
      <c r="D44" s="21">
        <f>Master!HA35</f>
        <v>0</v>
      </c>
      <c r="E44" s="21">
        <f>Master!HB35</f>
        <v>0</v>
      </c>
      <c r="F44" s="21">
        <f>Master!HC35</f>
        <v>0</v>
      </c>
      <c r="G44" s="21">
        <f>Master!HD35</f>
        <v>0</v>
      </c>
      <c r="H44" s="21">
        <f>Master!HE35</f>
        <v>0</v>
      </c>
      <c r="I44" s="22">
        <f t="shared" si="6"/>
        <v>-2</v>
      </c>
      <c r="J44" s="23" t="str">
        <f t="shared" si="7"/>
        <v>⚠ SHORT</v>
      </c>
    </row>
    <row r="45" spans="2:10" ht="21.75" customHeight="1" x14ac:dyDescent="0.3">
      <c r="B45" s="20" t="s">
        <v>53</v>
      </c>
      <c r="C45" s="21">
        <f>Master!HF35</f>
        <v>0</v>
      </c>
      <c r="D45" s="21">
        <f>Master!HG35</f>
        <v>4</v>
      </c>
      <c r="E45" s="21">
        <f>Master!HH35</f>
        <v>0</v>
      </c>
      <c r="F45" s="21">
        <f>Master!HI35</f>
        <v>0</v>
      </c>
      <c r="G45" s="21">
        <f>Master!HJ35</f>
        <v>0</v>
      </c>
      <c r="H45" s="21">
        <f>Master!HK35</f>
        <v>0</v>
      </c>
      <c r="I45" s="22">
        <f t="shared" si="6"/>
        <v>4</v>
      </c>
      <c r="J45" s="23" t="str">
        <f t="shared" si="7"/>
        <v>UNCONTRACTED</v>
      </c>
    </row>
    <row r="46" spans="2:10" ht="21.75" customHeight="1" x14ac:dyDescent="0.3">
      <c r="B46" s="20" t="s">
        <v>54</v>
      </c>
      <c r="C46" s="21">
        <f>Master!HL35</f>
        <v>0</v>
      </c>
      <c r="D46" s="21">
        <f>Master!HM35</f>
        <v>6</v>
      </c>
      <c r="E46" s="21">
        <f>Master!HN35</f>
        <v>0</v>
      </c>
      <c r="F46" s="21">
        <f>Master!HO35</f>
        <v>0</v>
      </c>
      <c r="G46" s="21">
        <f>Master!HP35</f>
        <v>0</v>
      </c>
      <c r="H46" s="21">
        <f>Master!HQ35</f>
        <v>0</v>
      </c>
      <c r="I46" s="22">
        <f t="shared" si="6"/>
        <v>6</v>
      </c>
      <c r="J46" s="23" t="str">
        <f t="shared" si="7"/>
        <v>UNCONTRACTED</v>
      </c>
    </row>
    <row r="47" spans="2:10" ht="21.75" customHeight="1" x14ac:dyDescent="0.3">
      <c r="B47" s="20" t="s">
        <v>55</v>
      </c>
      <c r="C47" s="21">
        <f>Master!HR35</f>
        <v>53</v>
      </c>
      <c r="D47" s="21">
        <f>Master!HS35</f>
        <v>47</v>
      </c>
      <c r="E47" s="21">
        <f>Master!HT35</f>
        <v>0</v>
      </c>
      <c r="F47" s="21">
        <f>Master!HU35</f>
        <v>0</v>
      </c>
      <c r="G47" s="21">
        <f>Master!HV35</f>
        <v>0</v>
      </c>
      <c r="H47" s="21">
        <f>Master!HW35</f>
        <v>8</v>
      </c>
      <c r="I47" s="22">
        <f t="shared" si="6"/>
        <v>-6</v>
      </c>
      <c r="J47" s="23" t="str">
        <f t="shared" si="7"/>
        <v>⚠ SHORT</v>
      </c>
    </row>
    <row r="48" spans="2:10" ht="21.75" customHeight="1" x14ac:dyDescent="0.3">
      <c r="B48" s="20" t="s">
        <v>56</v>
      </c>
      <c r="C48" s="21">
        <f>Master!HX35</f>
        <v>0</v>
      </c>
      <c r="D48" s="21">
        <f>Master!HY35</f>
        <v>1</v>
      </c>
      <c r="E48" s="21">
        <f>Master!HZ35</f>
        <v>0</v>
      </c>
      <c r="F48" s="21">
        <f>Master!IA35</f>
        <v>0</v>
      </c>
      <c r="G48" s="21">
        <f>Master!IB35</f>
        <v>0</v>
      </c>
      <c r="H48" s="21">
        <f>Master!IC35</f>
        <v>0</v>
      </c>
      <c r="I48" s="22">
        <f t="shared" si="6"/>
        <v>1</v>
      </c>
      <c r="J48" s="23" t="str">
        <f t="shared" si="7"/>
        <v>UNCONTRACTED</v>
      </c>
    </row>
    <row r="49" spans="2:10" ht="21.75" customHeight="1" x14ac:dyDescent="0.3">
      <c r="B49" s="20" t="s">
        <v>57</v>
      </c>
      <c r="C49" s="21">
        <f>Master!ID35</f>
        <v>6</v>
      </c>
      <c r="D49" s="21">
        <f>Master!IE35</f>
        <v>6</v>
      </c>
      <c r="E49" s="21">
        <f>Master!IF35</f>
        <v>0</v>
      </c>
      <c r="F49" s="21">
        <f>Master!IG35</f>
        <v>0</v>
      </c>
      <c r="G49" s="21">
        <f>Master!IH35</f>
        <v>0</v>
      </c>
      <c r="H49" s="21">
        <f>Master!II35</f>
        <v>0</v>
      </c>
      <c r="I49" s="22">
        <f t="shared" si="6"/>
        <v>0</v>
      </c>
      <c r="J49" s="23" t="str">
        <f t="shared" si="7"/>
        <v>✔ MET</v>
      </c>
    </row>
    <row r="52" spans="2:10" ht="21.75" customHeight="1" x14ac:dyDescent="0.3">
      <c r="B52" s="120" t="s">
        <v>58</v>
      </c>
      <c r="C52" s="120"/>
      <c r="D52" s="120"/>
      <c r="E52" s="120"/>
      <c r="F52" s="120"/>
      <c r="G52" s="120"/>
      <c r="H52" s="120"/>
      <c r="I52" s="120"/>
      <c r="J52" s="120"/>
    </row>
    <row r="53" spans="2:10" ht="19.5" customHeight="1" x14ac:dyDescent="0.3">
      <c r="B53" s="111" t="s">
        <v>59</v>
      </c>
      <c r="C53" s="111"/>
      <c r="D53" s="111"/>
      <c r="E53" s="111"/>
      <c r="F53" s="111"/>
      <c r="G53" s="111"/>
      <c r="H53" s="111"/>
      <c r="I53" s="111"/>
      <c r="J53" s="111"/>
    </row>
    <row r="54" spans="2:10" ht="19.5" customHeight="1" x14ac:dyDescent="0.3">
      <c r="B54" s="112" t="s">
        <v>60</v>
      </c>
      <c r="C54" s="112"/>
      <c r="D54" s="112"/>
      <c r="E54" s="112"/>
      <c r="F54" s="112"/>
      <c r="G54" s="112"/>
      <c r="H54" s="112"/>
      <c r="I54" s="112"/>
      <c r="J54" s="112"/>
    </row>
    <row r="55" spans="2:10" ht="19.5" customHeight="1" x14ac:dyDescent="0.3">
      <c r="B55" s="113" t="s">
        <v>61</v>
      </c>
      <c r="C55" s="113"/>
      <c r="D55" s="113"/>
      <c r="E55" s="113"/>
      <c r="F55" s="113"/>
      <c r="G55" s="113"/>
      <c r="H55" s="113"/>
      <c r="I55" s="113"/>
      <c r="J55" s="113"/>
    </row>
    <row r="56" spans="2:10" ht="19.5" customHeight="1" x14ac:dyDescent="0.3">
      <c r="B56" s="114" t="s">
        <v>62</v>
      </c>
      <c r="C56" s="114"/>
      <c r="D56" s="114"/>
      <c r="E56" s="114"/>
      <c r="F56" s="114"/>
      <c r="G56" s="114"/>
      <c r="H56" s="114"/>
      <c r="I56" s="114"/>
      <c r="J56" s="114"/>
    </row>
    <row r="57" spans="2:10" ht="19.5" customHeight="1" x14ac:dyDescent="0.3">
      <c r="B57" s="115" t="s">
        <v>63</v>
      </c>
      <c r="C57" s="115"/>
      <c r="D57" s="115"/>
      <c r="E57" s="115"/>
      <c r="F57" s="115"/>
      <c r="G57" s="115"/>
      <c r="H57" s="115"/>
      <c r="I57" s="115"/>
      <c r="J57" s="115"/>
    </row>
    <row r="59" spans="2:10" ht="25.5" customHeight="1" x14ac:dyDescent="0.3">
      <c r="B59" s="110" t="s">
        <v>64</v>
      </c>
      <c r="C59" s="110"/>
      <c r="D59" s="110"/>
      <c r="E59" s="110"/>
      <c r="F59" s="110"/>
      <c r="G59" s="110"/>
      <c r="H59" s="110"/>
      <c r="I59" s="110"/>
      <c r="J59" s="110"/>
    </row>
  </sheetData>
  <sheetProtection algorithmName="SHA-512" hashValue="VVXrcFj1KtEI7DI1H91DpElljUNtnaVCbumK/5VH5lB85CCO15JxkPG50rAsd62/ZN54VRoAVGW8EtVbemBm3g==" saltValue="TxpJerqanoMLMTcQ+6Pvgw==" spinCount="100000" sheet="1" objects="1" scenarios="1"/>
  <protectedRanges>
    <protectedRange sqref="AD17" name="Range1"/>
  </protectedRanges>
  <mergeCells count="24">
    <mergeCell ref="B1:J1"/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B6:J6"/>
    <mergeCell ref="B20:J20"/>
    <mergeCell ref="B27:J27"/>
    <mergeCell ref="B36:J36"/>
    <mergeCell ref="B52:J52"/>
    <mergeCell ref="B59:J59"/>
    <mergeCell ref="B53:J53"/>
    <mergeCell ref="B54:J54"/>
    <mergeCell ref="B55:J55"/>
    <mergeCell ref="B56:J56"/>
    <mergeCell ref="B57:J57"/>
  </mergeCells>
  <conditionalFormatting sqref="I6:I49">
    <cfRule type="cellIs" dxfId="61" priority="2" operator="lessThan">
      <formula>0</formula>
    </cfRule>
    <cfRule type="cellIs" dxfId="60" priority="3" operator="greaterThan">
      <formula>0</formula>
    </cfRule>
  </conditionalFormatting>
  <conditionalFormatting sqref="J6:J49">
    <cfRule type="expression" dxfId="59" priority="4">
      <formula>J6="⚠ SHORT"</formula>
    </cfRule>
    <cfRule type="expression" dxfId="58" priority="5">
      <formula>OR(J6="✔ MET",J6="✚ SURPLUS")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I35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4" sqref="D4:I19"/>
    </sheetView>
  </sheetViews>
  <sheetFormatPr defaultColWidth="8.6640625" defaultRowHeight="14.4" x14ac:dyDescent="0.3"/>
  <cols>
    <col min="1" max="1" width="13" customWidth="1"/>
    <col min="2" max="2" width="14" customWidth="1"/>
    <col min="3" max="243" width="8" customWidth="1"/>
  </cols>
  <sheetData>
    <row r="1" spans="1:243" ht="36" customHeight="1" x14ac:dyDescent="0.3">
      <c r="A1" s="104" t="s">
        <v>65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104"/>
      <c r="DF1" s="104"/>
      <c r="DG1" s="104"/>
      <c r="DH1" s="104"/>
      <c r="DI1" s="104"/>
      <c r="DJ1" s="104"/>
      <c r="DK1" s="104"/>
      <c r="DL1" s="104"/>
      <c r="DM1" s="104"/>
      <c r="DN1" s="104"/>
      <c r="DO1" s="104"/>
      <c r="DP1" s="104"/>
      <c r="DQ1" s="104"/>
      <c r="DR1" s="104"/>
      <c r="DS1" s="104"/>
      <c r="DT1" s="104"/>
      <c r="DU1" s="104"/>
      <c r="DV1" s="104"/>
      <c r="DW1" s="104"/>
      <c r="DX1" s="104"/>
      <c r="DY1" s="104"/>
      <c r="DZ1" s="104"/>
      <c r="EA1" s="104"/>
      <c r="EB1" s="104"/>
      <c r="EC1" s="104"/>
      <c r="ED1" s="104"/>
      <c r="EE1" s="104"/>
      <c r="EF1" s="104"/>
      <c r="EG1" s="104"/>
      <c r="EH1" s="104"/>
      <c r="EI1" s="104"/>
      <c r="EJ1" s="104"/>
      <c r="EK1" s="104"/>
      <c r="EL1" s="104"/>
      <c r="EM1" s="104"/>
      <c r="EN1" s="104"/>
      <c r="EO1" s="104"/>
      <c r="EP1" s="104"/>
      <c r="EQ1" s="104"/>
      <c r="ER1" s="104"/>
      <c r="ES1" s="104"/>
      <c r="ET1" s="104"/>
      <c r="EU1" s="104"/>
      <c r="EV1" s="104"/>
      <c r="EW1" s="104"/>
      <c r="EX1" s="104"/>
      <c r="EY1" s="104"/>
      <c r="EZ1" s="104"/>
      <c r="FA1" s="104"/>
      <c r="FB1" s="104"/>
      <c r="FC1" s="104"/>
      <c r="FD1" s="104"/>
      <c r="FE1" s="104"/>
      <c r="FF1" s="104"/>
      <c r="FG1" s="104"/>
      <c r="FH1" s="104"/>
      <c r="FI1" s="104"/>
      <c r="FJ1" s="104"/>
      <c r="FK1" s="104"/>
      <c r="FL1" s="104"/>
      <c r="FM1" s="104"/>
      <c r="FN1" s="104"/>
      <c r="FO1" s="104"/>
      <c r="FP1" s="104"/>
      <c r="FQ1" s="104"/>
      <c r="FR1" s="104"/>
      <c r="FS1" s="104"/>
      <c r="FT1" s="104"/>
      <c r="FU1" s="104"/>
      <c r="FV1" s="104"/>
      <c r="FW1" s="104"/>
      <c r="FX1" s="104"/>
      <c r="FY1" s="104"/>
      <c r="FZ1" s="104"/>
      <c r="GA1" s="104"/>
      <c r="GB1" s="104"/>
      <c r="GC1" s="104"/>
      <c r="GD1" s="104"/>
      <c r="GE1" s="104"/>
      <c r="GF1" s="104"/>
      <c r="GG1" s="104"/>
      <c r="GH1" s="104"/>
      <c r="GI1" s="104"/>
      <c r="GJ1" s="104"/>
      <c r="GK1" s="104"/>
      <c r="GL1" s="104"/>
      <c r="GM1" s="104"/>
      <c r="GN1" s="104"/>
      <c r="GO1" s="104"/>
      <c r="GP1" s="104"/>
      <c r="GQ1" s="104"/>
      <c r="GR1" s="104"/>
      <c r="GS1" s="104"/>
      <c r="GT1" s="104"/>
      <c r="GU1" s="104"/>
      <c r="GV1" s="104"/>
      <c r="GW1" s="104"/>
      <c r="GX1" s="104"/>
      <c r="GY1" s="104"/>
      <c r="GZ1" s="104"/>
      <c r="HA1" s="104"/>
      <c r="HB1" s="104"/>
      <c r="HC1" s="104"/>
      <c r="HD1" s="104"/>
      <c r="HE1" s="104"/>
      <c r="HF1" s="104"/>
      <c r="HG1" s="104"/>
      <c r="HH1" s="104"/>
      <c r="HI1" s="104"/>
      <c r="HJ1" s="104"/>
      <c r="HK1" s="104"/>
      <c r="HL1" s="104"/>
      <c r="HM1" s="104"/>
      <c r="HN1" s="104"/>
      <c r="HO1" s="104"/>
      <c r="HP1" s="104"/>
      <c r="HQ1" s="104"/>
      <c r="HR1" s="104"/>
      <c r="HS1" s="104"/>
      <c r="HT1" s="104"/>
      <c r="HU1" s="104"/>
      <c r="HV1" s="104"/>
      <c r="HW1" s="104"/>
      <c r="HX1" s="104"/>
      <c r="HY1" s="104"/>
      <c r="HZ1" s="104"/>
      <c r="IA1" s="104"/>
      <c r="IB1" s="104"/>
      <c r="IC1" s="104"/>
      <c r="ID1" s="104"/>
      <c r="IE1" s="104"/>
      <c r="IF1" s="104"/>
      <c r="IG1" s="104"/>
      <c r="IH1" s="104"/>
      <c r="II1" s="104"/>
    </row>
    <row r="2" spans="1:243" ht="15.75" customHeight="1" x14ac:dyDescent="0.3">
      <c r="A2" s="135" t="s">
        <v>66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5"/>
      <c r="AX2" s="135"/>
      <c r="AY2" s="135"/>
      <c r="AZ2" s="135"/>
      <c r="BA2" s="135"/>
      <c r="BB2" s="135"/>
      <c r="BC2" s="135"/>
      <c r="BD2" s="135"/>
      <c r="BE2" s="135"/>
      <c r="BF2" s="135"/>
      <c r="BG2" s="135"/>
      <c r="BH2" s="135"/>
      <c r="BI2" s="135"/>
      <c r="BJ2" s="135"/>
      <c r="BK2" s="135"/>
      <c r="BL2" s="135"/>
      <c r="BM2" s="135"/>
      <c r="BN2" s="135"/>
      <c r="BO2" s="135"/>
      <c r="BP2" s="135"/>
      <c r="BQ2" s="135"/>
      <c r="BR2" s="135"/>
      <c r="BS2" s="135"/>
      <c r="BT2" s="135"/>
      <c r="BU2" s="135"/>
      <c r="BV2" s="135"/>
      <c r="BW2" s="135"/>
      <c r="BX2" s="135"/>
      <c r="BY2" s="135"/>
      <c r="BZ2" s="135"/>
      <c r="CA2" s="135"/>
      <c r="CB2" s="135"/>
      <c r="CC2" s="135"/>
      <c r="CD2" s="135"/>
      <c r="CE2" s="135"/>
      <c r="CF2" s="135"/>
      <c r="CG2" s="135"/>
      <c r="CH2" s="135"/>
      <c r="CI2" s="135"/>
      <c r="CJ2" s="135"/>
      <c r="CK2" s="135"/>
      <c r="CL2" s="135"/>
      <c r="CM2" s="135"/>
      <c r="CN2" s="135"/>
      <c r="CO2" s="135"/>
      <c r="CP2" s="135"/>
      <c r="CQ2" s="135"/>
      <c r="CR2" s="135"/>
      <c r="CS2" s="135"/>
      <c r="CT2" s="135"/>
      <c r="CU2" s="135"/>
      <c r="CV2" s="135"/>
      <c r="CW2" s="135"/>
      <c r="CX2" s="135"/>
      <c r="CY2" s="135"/>
      <c r="CZ2" s="135"/>
      <c r="DA2" s="135"/>
      <c r="DB2" s="135"/>
      <c r="DC2" s="135"/>
      <c r="DD2" s="135"/>
      <c r="DE2" s="135"/>
      <c r="DF2" s="135"/>
      <c r="DG2" s="135"/>
      <c r="DH2" s="135"/>
      <c r="DI2" s="135"/>
      <c r="DJ2" s="135"/>
      <c r="DK2" s="135"/>
      <c r="DL2" s="135"/>
      <c r="DM2" s="135"/>
      <c r="DN2" s="135"/>
      <c r="DO2" s="135"/>
      <c r="DP2" s="135"/>
      <c r="DQ2" s="135"/>
      <c r="DR2" s="135"/>
      <c r="DS2" s="135"/>
      <c r="DT2" s="135"/>
      <c r="DU2" s="135"/>
      <c r="DV2" s="135"/>
      <c r="DW2" s="135"/>
      <c r="DX2" s="135"/>
      <c r="DY2" s="135"/>
      <c r="DZ2" s="135"/>
      <c r="EA2" s="135"/>
      <c r="EB2" s="135"/>
      <c r="EC2" s="135"/>
      <c r="ED2" s="135"/>
      <c r="EE2" s="135"/>
      <c r="EF2" s="135"/>
      <c r="EG2" s="135"/>
      <c r="EH2" s="135"/>
      <c r="EI2" s="135"/>
      <c r="EJ2" s="135"/>
      <c r="EK2" s="135"/>
      <c r="EL2" s="135"/>
      <c r="EM2" s="135"/>
      <c r="EN2" s="135"/>
      <c r="EO2" s="135"/>
      <c r="EP2" s="135"/>
      <c r="EQ2" s="135"/>
      <c r="ER2" s="135"/>
      <c r="ES2" s="135"/>
      <c r="ET2" s="135"/>
      <c r="EU2" s="135"/>
      <c r="EV2" s="135"/>
      <c r="EW2" s="135"/>
      <c r="EX2" s="135"/>
      <c r="EY2" s="135"/>
      <c r="EZ2" s="135"/>
      <c r="FA2" s="135"/>
      <c r="FB2" s="135"/>
      <c r="FC2" s="135"/>
      <c r="FD2" s="135"/>
      <c r="FE2" s="135"/>
      <c r="FF2" s="135"/>
      <c r="FG2" s="135"/>
      <c r="FH2" s="135"/>
      <c r="FI2" s="135"/>
      <c r="FJ2" s="135"/>
      <c r="FK2" s="135"/>
      <c r="FL2" s="135"/>
      <c r="FM2" s="135"/>
      <c r="FN2" s="135"/>
      <c r="FO2" s="135"/>
      <c r="FP2" s="135"/>
      <c r="FQ2" s="135"/>
      <c r="FR2" s="135"/>
      <c r="FS2" s="135"/>
      <c r="FT2" s="135"/>
      <c r="FU2" s="135"/>
      <c r="FV2" s="135"/>
      <c r="FW2" s="135"/>
      <c r="FX2" s="135"/>
      <c r="FY2" s="135"/>
      <c r="FZ2" s="135"/>
      <c r="GA2" s="135"/>
      <c r="GB2" s="135"/>
      <c r="GC2" s="135"/>
      <c r="GD2" s="135"/>
      <c r="GE2" s="135"/>
      <c r="GF2" s="135"/>
      <c r="GG2" s="135"/>
      <c r="GH2" s="135"/>
      <c r="GI2" s="135"/>
      <c r="GJ2" s="135"/>
      <c r="GK2" s="135"/>
      <c r="GL2" s="135"/>
      <c r="GM2" s="135"/>
      <c r="GN2" s="135"/>
      <c r="GO2" s="135"/>
      <c r="GP2" s="135"/>
      <c r="GQ2" s="135"/>
      <c r="GR2" s="135"/>
      <c r="GS2" s="135"/>
      <c r="GT2" s="135"/>
      <c r="GU2" s="135"/>
      <c r="GV2" s="135"/>
      <c r="GW2" s="135"/>
      <c r="GX2" s="135"/>
      <c r="GY2" s="135"/>
      <c r="GZ2" s="135"/>
      <c r="HA2" s="135"/>
      <c r="HB2" s="135"/>
      <c r="HC2" s="135"/>
      <c r="HD2" s="135"/>
      <c r="HE2" s="135"/>
      <c r="HF2" s="135"/>
      <c r="HG2" s="135"/>
      <c r="HH2" s="135"/>
      <c r="HI2" s="135"/>
      <c r="HJ2" s="135"/>
      <c r="HK2" s="135"/>
      <c r="HL2" s="135"/>
      <c r="HM2" s="135"/>
      <c r="HN2" s="135"/>
      <c r="HO2" s="135"/>
      <c r="HP2" s="135"/>
      <c r="HQ2" s="135"/>
      <c r="HR2" s="135"/>
      <c r="HS2" s="135"/>
      <c r="HT2" s="135"/>
      <c r="HU2" s="135"/>
      <c r="HV2" s="135"/>
      <c r="HW2" s="135"/>
      <c r="HX2" s="135"/>
      <c r="HY2" s="135"/>
      <c r="HZ2" s="135"/>
      <c r="IA2" s="135"/>
      <c r="IB2" s="135"/>
      <c r="IC2" s="135"/>
      <c r="ID2" s="135"/>
      <c r="IE2" s="135"/>
      <c r="IF2" s="135"/>
      <c r="IG2" s="135"/>
      <c r="IH2" s="135"/>
      <c r="II2" s="135"/>
    </row>
    <row r="3" spans="1:243" ht="43.5" customHeight="1" x14ac:dyDescent="0.3">
      <c r="A3" s="136" t="s">
        <v>67</v>
      </c>
      <c r="B3" s="136" t="s">
        <v>68</v>
      </c>
      <c r="C3" s="136" t="s">
        <v>69</v>
      </c>
      <c r="D3" s="134" t="s">
        <v>15</v>
      </c>
      <c r="E3" s="134"/>
      <c r="F3" s="134"/>
      <c r="G3" s="134"/>
      <c r="H3" s="134"/>
      <c r="I3" s="134"/>
      <c r="J3" s="134" t="s">
        <v>16</v>
      </c>
      <c r="K3" s="134"/>
      <c r="L3" s="134"/>
      <c r="M3" s="134"/>
      <c r="N3" s="134"/>
      <c r="O3" s="134"/>
      <c r="P3" s="134" t="s">
        <v>17</v>
      </c>
      <c r="Q3" s="134"/>
      <c r="R3" s="134"/>
      <c r="S3" s="134"/>
      <c r="T3" s="134"/>
      <c r="U3" s="134"/>
      <c r="V3" s="134" t="s">
        <v>18</v>
      </c>
      <c r="W3" s="134"/>
      <c r="X3" s="134"/>
      <c r="Y3" s="134"/>
      <c r="Z3" s="134"/>
      <c r="AA3" s="134"/>
      <c r="AB3" s="134" t="s">
        <v>19</v>
      </c>
      <c r="AC3" s="134"/>
      <c r="AD3" s="134"/>
      <c r="AE3" s="134"/>
      <c r="AF3" s="134"/>
      <c r="AG3" s="134"/>
      <c r="AH3" s="134" t="s">
        <v>20</v>
      </c>
      <c r="AI3" s="134"/>
      <c r="AJ3" s="134"/>
      <c r="AK3" s="134"/>
      <c r="AL3" s="134"/>
      <c r="AM3" s="134"/>
      <c r="AN3" s="134" t="s">
        <v>21</v>
      </c>
      <c r="AO3" s="134"/>
      <c r="AP3" s="134"/>
      <c r="AQ3" s="134"/>
      <c r="AR3" s="134"/>
      <c r="AS3" s="134"/>
      <c r="AT3" s="134" t="s">
        <v>22</v>
      </c>
      <c r="AU3" s="134"/>
      <c r="AV3" s="134"/>
      <c r="AW3" s="134"/>
      <c r="AX3" s="134"/>
      <c r="AY3" s="134"/>
      <c r="AZ3" s="134" t="s">
        <v>23</v>
      </c>
      <c r="BA3" s="134"/>
      <c r="BB3" s="134"/>
      <c r="BC3" s="134"/>
      <c r="BD3" s="134"/>
      <c r="BE3" s="134"/>
      <c r="BF3" s="134" t="s">
        <v>24</v>
      </c>
      <c r="BG3" s="134"/>
      <c r="BH3" s="134"/>
      <c r="BI3" s="134"/>
      <c r="BJ3" s="134"/>
      <c r="BK3" s="134"/>
      <c r="BL3" s="134" t="s">
        <v>25</v>
      </c>
      <c r="BM3" s="134"/>
      <c r="BN3" s="134"/>
      <c r="BO3" s="134"/>
      <c r="BP3" s="134"/>
      <c r="BQ3" s="134"/>
      <c r="BR3" s="134" t="s">
        <v>26</v>
      </c>
      <c r="BS3" s="134"/>
      <c r="BT3" s="134"/>
      <c r="BU3" s="134"/>
      <c r="BV3" s="134"/>
      <c r="BW3" s="134"/>
      <c r="BX3" s="134" t="s">
        <v>27</v>
      </c>
      <c r="BY3" s="134"/>
      <c r="BZ3" s="134"/>
      <c r="CA3" s="134"/>
      <c r="CB3" s="134"/>
      <c r="CC3" s="134"/>
      <c r="CD3" s="133" t="s">
        <v>29</v>
      </c>
      <c r="CE3" s="133"/>
      <c r="CF3" s="133"/>
      <c r="CG3" s="133"/>
      <c r="CH3" s="133"/>
      <c r="CI3" s="133"/>
      <c r="CJ3" s="133" t="s">
        <v>30</v>
      </c>
      <c r="CK3" s="133"/>
      <c r="CL3" s="133"/>
      <c r="CM3" s="133"/>
      <c r="CN3" s="133"/>
      <c r="CO3" s="133"/>
      <c r="CP3" s="133" t="s">
        <v>31</v>
      </c>
      <c r="CQ3" s="133"/>
      <c r="CR3" s="133"/>
      <c r="CS3" s="133"/>
      <c r="CT3" s="133"/>
      <c r="CU3" s="133"/>
      <c r="CV3" s="133" t="s">
        <v>32</v>
      </c>
      <c r="CW3" s="133"/>
      <c r="CX3" s="133"/>
      <c r="CY3" s="133"/>
      <c r="CZ3" s="133"/>
      <c r="DA3" s="133"/>
      <c r="DB3" s="133" t="s">
        <v>33</v>
      </c>
      <c r="DC3" s="133"/>
      <c r="DD3" s="133"/>
      <c r="DE3" s="133"/>
      <c r="DF3" s="133"/>
      <c r="DG3" s="133"/>
      <c r="DH3" s="133" t="s">
        <v>34</v>
      </c>
      <c r="DI3" s="133"/>
      <c r="DJ3" s="133"/>
      <c r="DK3" s="133"/>
      <c r="DL3" s="133"/>
      <c r="DM3" s="133"/>
      <c r="DN3" s="132" t="s">
        <v>36</v>
      </c>
      <c r="DO3" s="132"/>
      <c r="DP3" s="132"/>
      <c r="DQ3" s="132"/>
      <c r="DR3" s="132"/>
      <c r="DS3" s="132"/>
      <c r="DT3" s="132" t="s">
        <v>37</v>
      </c>
      <c r="DU3" s="132"/>
      <c r="DV3" s="132"/>
      <c r="DW3" s="132"/>
      <c r="DX3" s="132"/>
      <c r="DY3" s="132"/>
      <c r="DZ3" s="132" t="s">
        <v>38</v>
      </c>
      <c r="EA3" s="132"/>
      <c r="EB3" s="132"/>
      <c r="EC3" s="132"/>
      <c r="ED3" s="132"/>
      <c r="EE3" s="132"/>
      <c r="EF3" s="132" t="s">
        <v>39</v>
      </c>
      <c r="EG3" s="132"/>
      <c r="EH3" s="132"/>
      <c r="EI3" s="132"/>
      <c r="EJ3" s="132"/>
      <c r="EK3" s="132"/>
      <c r="EL3" s="132" t="s">
        <v>40</v>
      </c>
      <c r="EM3" s="132"/>
      <c r="EN3" s="132"/>
      <c r="EO3" s="132"/>
      <c r="EP3" s="132"/>
      <c r="EQ3" s="132"/>
      <c r="ER3" s="132" t="s">
        <v>41</v>
      </c>
      <c r="ES3" s="132"/>
      <c r="ET3" s="132"/>
      <c r="EU3" s="132"/>
      <c r="EV3" s="132"/>
      <c r="EW3" s="132"/>
      <c r="EX3" s="132" t="s">
        <v>42</v>
      </c>
      <c r="EY3" s="132"/>
      <c r="EZ3" s="132"/>
      <c r="FA3" s="132"/>
      <c r="FB3" s="132"/>
      <c r="FC3" s="132"/>
      <c r="FD3" s="132" t="s">
        <v>43</v>
      </c>
      <c r="FE3" s="132"/>
      <c r="FF3" s="132"/>
      <c r="FG3" s="132"/>
      <c r="FH3" s="132"/>
      <c r="FI3" s="132"/>
      <c r="FJ3" s="131" t="s">
        <v>45</v>
      </c>
      <c r="FK3" s="131"/>
      <c r="FL3" s="131"/>
      <c r="FM3" s="131"/>
      <c r="FN3" s="131"/>
      <c r="FO3" s="131"/>
      <c r="FP3" s="131" t="s">
        <v>46</v>
      </c>
      <c r="FQ3" s="131"/>
      <c r="FR3" s="131"/>
      <c r="FS3" s="131"/>
      <c r="FT3" s="131"/>
      <c r="FU3" s="131"/>
      <c r="FV3" s="131" t="s">
        <v>47</v>
      </c>
      <c r="FW3" s="131"/>
      <c r="FX3" s="131"/>
      <c r="FY3" s="131"/>
      <c r="FZ3" s="131"/>
      <c r="GA3" s="131"/>
      <c r="GB3" s="131" t="s">
        <v>48</v>
      </c>
      <c r="GC3" s="131"/>
      <c r="GD3" s="131"/>
      <c r="GE3" s="131"/>
      <c r="GF3" s="131"/>
      <c r="GG3" s="131"/>
      <c r="GH3" s="131" t="s">
        <v>49</v>
      </c>
      <c r="GI3" s="131"/>
      <c r="GJ3" s="131"/>
      <c r="GK3" s="131"/>
      <c r="GL3" s="131"/>
      <c r="GM3" s="131"/>
      <c r="GN3" s="131" t="s">
        <v>50</v>
      </c>
      <c r="GO3" s="131"/>
      <c r="GP3" s="131"/>
      <c r="GQ3" s="131"/>
      <c r="GR3" s="131"/>
      <c r="GS3" s="131"/>
      <c r="GT3" s="131" t="s">
        <v>51</v>
      </c>
      <c r="GU3" s="131"/>
      <c r="GV3" s="131"/>
      <c r="GW3" s="131"/>
      <c r="GX3" s="131"/>
      <c r="GY3" s="131"/>
      <c r="GZ3" s="131" t="s">
        <v>52</v>
      </c>
      <c r="HA3" s="131"/>
      <c r="HB3" s="131"/>
      <c r="HC3" s="131"/>
      <c r="HD3" s="131"/>
      <c r="HE3" s="131"/>
      <c r="HF3" s="131" t="s">
        <v>53</v>
      </c>
      <c r="HG3" s="131"/>
      <c r="HH3" s="131"/>
      <c r="HI3" s="131"/>
      <c r="HJ3" s="131"/>
      <c r="HK3" s="131"/>
      <c r="HL3" s="131" t="s">
        <v>54</v>
      </c>
      <c r="HM3" s="131"/>
      <c r="HN3" s="131"/>
      <c r="HO3" s="131"/>
      <c r="HP3" s="131"/>
      <c r="HQ3" s="131"/>
      <c r="HR3" s="131" t="s">
        <v>55</v>
      </c>
      <c r="HS3" s="131"/>
      <c r="HT3" s="131"/>
      <c r="HU3" s="131"/>
      <c r="HV3" s="131"/>
      <c r="HW3" s="131"/>
      <c r="HX3" s="131" t="s">
        <v>56</v>
      </c>
      <c r="HY3" s="131"/>
      <c r="HZ3" s="131"/>
      <c r="IA3" s="131"/>
      <c r="IB3" s="131"/>
      <c r="IC3" s="131"/>
      <c r="ID3" s="131" t="s">
        <v>57</v>
      </c>
      <c r="IE3" s="131"/>
      <c r="IF3" s="131"/>
      <c r="IG3" s="131"/>
      <c r="IH3" s="131"/>
      <c r="II3" s="131"/>
    </row>
    <row r="4" spans="1:243" ht="24" customHeight="1" x14ac:dyDescent="0.3">
      <c r="A4" s="136"/>
      <c r="B4" s="136"/>
      <c r="C4" s="136"/>
      <c r="D4" s="24" t="s">
        <v>70</v>
      </c>
      <c r="E4" s="25" t="s">
        <v>71</v>
      </c>
      <c r="F4" s="26" t="s">
        <v>72</v>
      </c>
      <c r="G4" s="27" t="s">
        <v>73</v>
      </c>
      <c r="H4" s="28" t="s">
        <v>74</v>
      </c>
      <c r="I4" s="29" t="s">
        <v>75</v>
      </c>
      <c r="J4" s="24" t="s">
        <v>70</v>
      </c>
      <c r="K4" s="25" t="s">
        <v>71</v>
      </c>
      <c r="L4" s="26" t="s">
        <v>72</v>
      </c>
      <c r="M4" s="27" t="s">
        <v>73</v>
      </c>
      <c r="N4" s="28" t="s">
        <v>74</v>
      </c>
      <c r="O4" s="29" t="s">
        <v>75</v>
      </c>
      <c r="P4" s="24" t="s">
        <v>70</v>
      </c>
      <c r="Q4" s="25" t="s">
        <v>71</v>
      </c>
      <c r="R4" s="26" t="s">
        <v>72</v>
      </c>
      <c r="S4" s="27" t="s">
        <v>73</v>
      </c>
      <c r="T4" s="28" t="s">
        <v>74</v>
      </c>
      <c r="U4" s="29" t="s">
        <v>75</v>
      </c>
      <c r="V4" s="24" t="s">
        <v>70</v>
      </c>
      <c r="W4" s="25" t="s">
        <v>71</v>
      </c>
      <c r="X4" s="26" t="s">
        <v>72</v>
      </c>
      <c r="Y4" s="27" t="s">
        <v>73</v>
      </c>
      <c r="Z4" s="28" t="s">
        <v>74</v>
      </c>
      <c r="AA4" s="29" t="s">
        <v>75</v>
      </c>
      <c r="AB4" s="24" t="s">
        <v>70</v>
      </c>
      <c r="AC4" s="25" t="s">
        <v>71</v>
      </c>
      <c r="AD4" s="26" t="s">
        <v>72</v>
      </c>
      <c r="AE4" s="27" t="s">
        <v>73</v>
      </c>
      <c r="AF4" s="28" t="s">
        <v>74</v>
      </c>
      <c r="AG4" s="29" t="s">
        <v>75</v>
      </c>
      <c r="AH4" s="24" t="s">
        <v>70</v>
      </c>
      <c r="AI4" s="25" t="s">
        <v>71</v>
      </c>
      <c r="AJ4" s="26" t="s">
        <v>72</v>
      </c>
      <c r="AK4" s="27" t="s">
        <v>73</v>
      </c>
      <c r="AL4" s="28" t="s">
        <v>74</v>
      </c>
      <c r="AM4" s="29" t="s">
        <v>75</v>
      </c>
      <c r="AN4" s="24" t="s">
        <v>70</v>
      </c>
      <c r="AO4" s="25" t="s">
        <v>71</v>
      </c>
      <c r="AP4" s="26" t="s">
        <v>72</v>
      </c>
      <c r="AQ4" s="27" t="s">
        <v>73</v>
      </c>
      <c r="AR4" s="28" t="s">
        <v>74</v>
      </c>
      <c r="AS4" s="29" t="s">
        <v>75</v>
      </c>
      <c r="AT4" s="24" t="s">
        <v>70</v>
      </c>
      <c r="AU4" s="25" t="s">
        <v>71</v>
      </c>
      <c r="AV4" s="26" t="s">
        <v>72</v>
      </c>
      <c r="AW4" s="27" t="s">
        <v>73</v>
      </c>
      <c r="AX4" s="28" t="s">
        <v>74</v>
      </c>
      <c r="AY4" s="29" t="s">
        <v>75</v>
      </c>
      <c r="AZ4" s="24" t="s">
        <v>70</v>
      </c>
      <c r="BA4" s="25" t="s">
        <v>71</v>
      </c>
      <c r="BB4" s="26" t="s">
        <v>72</v>
      </c>
      <c r="BC4" s="27" t="s">
        <v>73</v>
      </c>
      <c r="BD4" s="28" t="s">
        <v>74</v>
      </c>
      <c r="BE4" s="29" t="s">
        <v>75</v>
      </c>
      <c r="BF4" s="24" t="s">
        <v>70</v>
      </c>
      <c r="BG4" s="25" t="s">
        <v>71</v>
      </c>
      <c r="BH4" s="26" t="s">
        <v>72</v>
      </c>
      <c r="BI4" s="27" t="s">
        <v>73</v>
      </c>
      <c r="BJ4" s="28" t="s">
        <v>74</v>
      </c>
      <c r="BK4" s="29" t="s">
        <v>75</v>
      </c>
      <c r="BL4" s="24" t="s">
        <v>70</v>
      </c>
      <c r="BM4" s="25" t="s">
        <v>71</v>
      </c>
      <c r="BN4" s="26" t="s">
        <v>72</v>
      </c>
      <c r="BO4" s="27" t="s">
        <v>73</v>
      </c>
      <c r="BP4" s="28" t="s">
        <v>74</v>
      </c>
      <c r="BQ4" s="29" t="s">
        <v>75</v>
      </c>
      <c r="BR4" s="24" t="s">
        <v>70</v>
      </c>
      <c r="BS4" s="25" t="s">
        <v>71</v>
      </c>
      <c r="BT4" s="26" t="s">
        <v>72</v>
      </c>
      <c r="BU4" s="27" t="s">
        <v>73</v>
      </c>
      <c r="BV4" s="28" t="s">
        <v>74</v>
      </c>
      <c r="BW4" s="29" t="s">
        <v>75</v>
      </c>
      <c r="BX4" s="24" t="s">
        <v>70</v>
      </c>
      <c r="BY4" s="25" t="s">
        <v>71</v>
      </c>
      <c r="BZ4" s="26" t="s">
        <v>72</v>
      </c>
      <c r="CA4" s="27" t="s">
        <v>73</v>
      </c>
      <c r="CB4" s="28" t="s">
        <v>74</v>
      </c>
      <c r="CC4" s="29" t="s">
        <v>75</v>
      </c>
      <c r="CD4" s="24" t="s">
        <v>70</v>
      </c>
      <c r="CE4" s="25" t="s">
        <v>71</v>
      </c>
      <c r="CF4" s="26" t="s">
        <v>72</v>
      </c>
      <c r="CG4" s="27" t="s">
        <v>73</v>
      </c>
      <c r="CH4" s="28" t="s">
        <v>74</v>
      </c>
      <c r="CI4" s="29" t="s">
        <v>75</v>
      </c>
      <c r="CJ4" s="24" t="s">
        <v>70</v>
      </c>
      <c r="CK4" s="25" t="s">
        <v>71</v>
      </c>
      <c r="CL4" s="26" t="s">
        <v>72</v>
      </c>
      <c r="CM4" s="27" t="s">
        <v>73</v>
      </c>
      <c r="CN4" s="28" t="s">
        <v>74</v>
      </c>
      <c r="CO4" s="29" t="s">
        <v>75</v>
      </c>
      <c r="CP4" s="24" t="s">
        <v>70</v>
      </c>
      <c r="CQ4" s="25" t="s">
        <v>71</v>
      </c>
      <c r="CR4" s="26" t="s">
        <v>72</v>
      </c>
      <c r="CS4" s="27" t="s">
        <v>73</v>
      </c>
      <c r="CT4" s="28" t="s">
        <v>74</v>
      </c>
      <c r="CU4" s="29" t="s">
        <v>75</v>
      </c>
      <c r="CV4" s="24" t="s">
        <v>70</v>
      </c>
      <c r="CW4" s="25" t="s">
        <v>71</v>
      </c>
      <c r="CX4" s="26" t="s">
        <v>72</v>
      </c>
      <c r="CY4" s="27" t="s">
        <v>73</v>
      </c>
      <c r="CZ4" s="28" t="s">
        <v>74</v>
      </c>
      <c r="DA4" s="29" t="s">
        <v>75</v>
      </c>
      <c r="DB4" s="24" t="s">
        <v>70</v>
      </c>
      <c r="DC4" s="25" t="s">
        <v>71</v>
      </c>
      <c r="DD4" s="26" t="s">
        <v>72</v>
      </c>
      <c r="DE4" s="27" t="s">
        <v>73</v>
      </c>
      <c r="DF4" s="28" t="s">
        <v>74</v>
      </c>
      <c r="DG4" s="29" t="s">
        <v>75</v>
      </c>
      <c r="DH4" s="24" t="s">
        <v>70</v>
      </c>
      <c r="DI4" s="25" t="s">
        <v>71</v>
      </c>
      <c r="DJ4" s="26" t="s">
        <v>72</v>
      </c>
      <c r="DK4" s="27" t="s">
        <v>73</v>
      </c>
      <c r="DL4" s="28" t="s">
        <v>74</v>
      </c>
      <c r="DM4" s="29" t="s">
        <v>75</v>
      </c>
      <c r="DN4" s="24" t="s">
        <v>70</v>
      </c>
      <c r="DO4" s="25" t="s">
        <v>71</v>
      </c>
      <c r="DP4" s="26" t="s">
        <v>72</v>
      </c>
      <c r="DQ4" s="27" t="s">
        <v>73</v>
      </c>
      <c r="DR4" s="28" t="s">
        <v>74</v>
      </c>
      <c r="DS4" s="29" t="s">
        <v>75</v>
      </c>
      <c r="DT4" s="24" t="s">
        <v>70</v>
      </c>
      <c r="DU4" s="25" t="s">
        <v>71</v>
      </c>
      <c r="DV4" s="26" t="s">
        <v>72</v>
      </c>
      <c r="DW4" s="27" t="s">
        <v>73</v>
      </c>
      <c r="DX4" s="28" t="s">
        <v>74</v>
      </c>
      <c r="DY4" s="29" t="s">
        <v>75</v>
      </c>
      <c r="DZ4" s="24" t="s">
        <v>70</v>
      </c>
      <c r="EA4" s="25" t="s">
        <v>71</v>
      </c>
      <c r="EB4" s="26" t="s">
        <v>72</v>
      </c>
      <c r="EC4" s="27" t="s">
        <v>73</v>
      </c>
      <c r="ED4" s="28" t="s">
        <v>74</v>
      </c>
      <c r="EE4" s="29" t="s">
        <v>75</v>
      </c>
      <c r="EF4" s="24" t="s">
        <v>70</v>
      </c>
      <c r="EG4" s="25" t="s">
        <v>71</v>
      </c>
      <c r="EH4" s="26" t="s">
        <v>72</v>
      </c>
      <c r="EI4" s="27" t="s">
        <v>73</v>
      </c>
      <c r="EJ4" s="28" t="s">
        <v>74</v>
      </c>
      <c r="EK4" s="29" t="s">
        <v>75</v>
      </c>
      <c r="EL4" s="24" t="s">
        <v>70</v>
      </c>
      <c r="EM4" s="25" t="s">
        <v>71</v>
      </c>
      <c r="EN4" s="26" t="s">
        <v>72</v>
      </c>
      <c r="EO4" s="27" t="s">
        <v>73</v>
      </c>
      <c r="EP4" s="28" t="s">
        <v>74</v>
      </c>
      <c r="EQ4" s="29" t="s">
        <v>75</v>
      </c>
      <c r="ER4" s="24" t="s">
        <v>70</v>
      </c>
      <c r="ES4" s="25" t="s">
        <v>71</v>
      </c>
      <c r="ET4" s="26" t="s">
        <v>72</v>
      </c>
      <c r="EU4" s="27" t="s">
        <v>73</v>
      </c>
      <c r="EV4" s="28" t="s">
        <v>74</v>
      </c>
      <c r="EW4" s="29" t="s">
        <v>75</v>
      </c>
      <c r="EX4" s="24" t="s">
        <v>70</v>
      </c>
      <c r="EY4" s="25" t="s">
        <v>71</v>
      </c>
      <c r="EZ4" s="26" t="s">
        <v>72</v>
      </c>
      <c r="FA4" s="27" t="s">
        <v>73</v>
      </c>
      <c r="FB4" s="28" t="s">
        <v>74</v>
      </c>
      <c r="FC4" s="29" t="s">
        <v>75</v>
      </c>
      <c r="FD4" s="24" t="s">
        <v>70</v>
      </c>
      <c r="FE4" s="25" t="s">
        <v>71</v>
      </c>
      <c r="FF4" s="26" t="s">
        <v>72</v>
      </c>
      <c r="FG4" s="27" t="s">
        <v>73</v>
      </c>
      <c r="FH4" s="28" t="s">
        <v>74</v>
      </c>
      <c r="FI4" s="29" t="s">
        <v>75</v>
      </c>
      <c r="FJ4" s="24" t="s">
        <v>70</v>
      </c>
      <c r="FK4" s="25" t="s">
        <v>71</v>
      </c>
      <c r="FL4" s="26" t="s">
        <v>72</v>
      </c>
      <c r="FM4" s="27" t="s">
        <v>73</v>
      </c>
      <c r="FN4" s="28" t="s">
        <v>74</v>
      </c>
      <c r="FO4" s="29" t="s">
        <v>75</v>
      </c>
      <c r="FP4" s="24" t="s">
        <v>70</v>
      </c>
      <c r="FQ4" s="25" t="s">
        <v>71</v>
      </c>
      <c r="FR4" s="26" t="s">
        <v>72</v>
      </c>
      <c r="FS4" s="27" t="s">
        <v>73</v>
      </c>
      <c r="FT4" s="28" t="s">
        <v>74</v>
      </c>
      <c r="FU4" s="29" t="s">
        <v>75</v>
      </c>
      <c r="FV4" s="24" t="s">
        <v>70</v>
      </c>
      <c r="FW4" s="25" t="s">
        <v>71</v>
      </c>
      <c r="FX4" s="26" t="s">
        <v>72</v>
      </c>
      <c r="FY4" s="27" t="s">
        <v>73</v>
      </c>
      <c r="FZ4" s="28" t="s">
        <v>74</v>
      </c>
      <c r="GA4" s="29" t="s">
        <v>75</v>
      </c>
      <c r="GB4" s="24" t="s">
        <v>70</v>
      </c>
      <c r="GC4" s="25" t="s">
        <v>71</v>
      </c>
      <c r="GD4" s="26" t="s">
        <v>72</v>
      </c>
      <c r="GE4" s="27" t="s">
        <v>73</v>
      </c>
      <c r="GF4" s="28" t="s">
        <v>74</v>
      </c>
      <c r="GG4" s="29" t="s">
        <v>75</v>
      </c>
      <c r="GH4" s="24" t="s">
        <v>70</v>
      </c>
      <c r="GI4" s="25" t="s">
        <v>71</v>
      </c>
      <c r="GJ4" s="26" t="s">
        <v>72</v>
      </c>
      <c r="GK4" s="27" t="s">
        <v>73</v>
      </c>
      <c r="GL4" s="28" t="s">
        <v>74</v>
      </c>
      <c r="GM4" s="29" t="s">
        <v>75</v>
      </c>
      <c r="GN4" s="24" t="s">
        <v>70</v>
      </c>
      <c r="GO4" s="25" t="s">
        <v>71</v>
      </c>
      <c r="GP4" s="26" t="s">
        <v>72</v>
      </c>
      <c r="GQ4" s="27" t="s">
        <v>73</v>
      </c>
      <c r="GR4" s="28" t="s">
        <v>74</v>
      </c>
      <c r="GS4" s="29" t="s">
        <v>75</v>
      </c>
      <c r="GT4" s="24" t="s">
        <v>70</v>
      </c>
      <c r="GU4" s="25" t="s">
        <v>71</v>
      </c>
      <c r="GV4" s="26" t="s">
        <v>72</v>
      </c>
      <c r="GW4" s="27" t="s">
        <v>73</v>
      </c>
      <c r="GX4" s="28" t="s">
        <v>74</v>
      </c>
      <c r="GY4" s="29" t="s">
        <v>75</v>
      </c>
      <c r="GZ4" s="24" t="s">
        <v>70</v>
      </c>
      <c r="HA4" s="25" t="s">
        <v>71</v>
      </c>
      <c r="HB4" s="26" t="s">
        <v>72</v>
      </c>
      <c r="HC4" s="27" t="s">
        <v>73</v>
      </c>
      <c r="HD4" s="28" t="s">
        <v>74</v>
      </c>
      <c r="HE4" s="29" t="s">
        <v>75</v>
      </c>
      <c r="HF4" s="24" t="s">
        <v>70</v>
      </c>
      <c r="HG4" s="25" t="s">
        <v>71</v>
      </c>
      <c r="HH4" s="26" t="s">
        <v>72</v>
      </c>
      <c r="HI4" s="27" t="s">
        <v>73</v>
      </c>
      <c r="HJ4" s="28" t="s">
        <v>74</v>
      </c>
      <c r="HK4" s="29" t="s">
        <v>75</v>
      </c>
      <c r="HL4" s="24" t="s">
        <v>70</v>
      </c>
      <c r="HM4" s="25" t="s">
        <v>71</v>
      </c>
      <c r="HN4" s="26" t="s">
        <v>72</v>
      </c>
      <c r="HO4" s="27" t="s">
        <v>73</v>
      </c>
      <c r="HP4" s="28" t="s">
        <v>74</v>
      </c>
      <c r="HQ4" s="29" t="s">
        <v>75</v>
      </c>
      <c r="HR4" s="24" t="s">
        <v>70</v>
      </c>
      <c r="HS4" s="25" t="s">
        <v>71</v>
      </c>
      <c r="HT4" s="26" t="s">
        <v>72</v>
      </c>
      <c r="HU4" s="27" t="s">
        <v>73</v>
      </c>
      <c r="HV4" s="28" t="s">
        <v>74</v>
      </c>
      <c r="HW4" s="29" t="s">
        <v>75</v>
      </c>
      <c r="HX4" s="24" t="s">
        <v>70</v>
      </c>
      <c r="HY4" s="25" t="s">
        <v>71</v>
      </c>
      <c r="HZ4" s="26" t="s">
        <v>72</v>
      </c>
      <c r="IA4" s="27" t="s">
        <v>73</v>
      </c>
      <c r="IB4" s="28" t="s">
        <v>74</v>
      </c>
      <c r="IC4" s="29" t="s">
        <v>75</v>
      </c>
      <c r="ID4" s="24" t="s">
        <v>70</v>
      </c>
      <c r="IE4" s="25" t="s">
        <v>71</v>
      </c>
      <c r="IF4" s="26" t="s">
        <v>72</v>
      </c>
      <c r="IG4" s="27" t="s">
        <v>73</v>
      </c>
      <c r="IH4" s="28" t="s">
        <v>74</v>
      </c>
      <c r="II4" s="29" t="s">
        <v>75</v>
      </c>
    </row>
    <row r="5" spans="1:243" ht="3.75" customHeight="1" x14ac:dyDescent="0.3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</row>
    <row r="6" spans="1:243" ht="19.5" customHeight="1" x14ac:dyDescent="0.3">
      <c r="A6" s="31" t="s">
        <v>76</v>
      </c>
      <c r="B6" s="32">
        <f>'Rig 103'!D2</f>
        <v>45454</v>
      </c>
      <c r="C6" s="33" t="s">
        <v>77</v>
      </c>
      <c r="D6" s="34">
        <f>SUMIF('Rig 103'!$B:$B,Lists!$A$2,'Rig 103'!$C:$C)</f>
        <v>0</v>
      </c>
      <c r="E6" s="34">
        <f>SUMIF('Rig 103'!$B:$B,Lists!$A$2,'Rig 103'!$E:$E)</f>
        <v>0</v>
      </c>
      <c r="F6" s="34">
        <f>SUMIF('Rig 103'!$B:$B,Lists!$A$2,'Rig 103'!$F:$F)</f>
        <v>0</v>
      </c>
      <c r="G6" s="34">
        <f>SUMIF('Rig 103'!$B:$B,Lists!$A$2,'Rig 103'!$G:$G)</f>
        <v>0</v>
      </c>
      <c r="H6" s="34">
        <f>SUMIF('Rig 103'!$B:$B,Lists!$A$2,'Rig 103'!$H:$H)</f>
        <v>0</v>
      </c>
      <c r="I6" s="34">
        <f>SUMIF('Rig 103'!$B:$B,Lists!$A$2,'Rig 103'!$I:$I)</f>
        <v>0</v>
      </c>
      <c r="J6" s="34">
        <f>SUMIF('Rig 103'!$B:$B,Lists!$A$3,'Rig 103'!$C:$C)</f>
        <v>0</v>
      </c>
      <c r="K6" s="34">
        <f>SUMIF('Rig 103'!$B:$B,Lists!$A$3,'Rig 103'!$E:$E)</f>
        <v>0</v>
      </c>
      <c r="L6" s="34">
        <f>SUMIF('Rig 103'!$B:$B,Lists!$A$3,'Rig 103'!$F:$F)</f>
        <v>0</v>
      </c>
      <c r="M6" s="34">
        <f>SUMIF('Rig 103'!$B:$B,Lists!$A$3,'Rig 103'!$G:$G)</f>
        <v>0</v>
      </c>
      <c r="N6" s="34">
        <f>SUMIF('Rig 103'!$B:$B,Lists!$A$3,'Rig 103'!$H:$H)</f>
        <v>0</v>
      </c>
      <c r="O6" s="34">
        <f>SUMIF('Rig 103'!$B:$B,Lists!$A$3,'Rig 103'!$I:$I)</f>
        <v>0</v>
      </c>
      <c r="P6" s="34">
        <f>SUMIF('Rig 103'!$B:$B,Lists!$A$4,'Rig 103'!$C:$C)</f>
        <v>0</v>
      </c>
      <c r="Q6" s="34">
        <f>SUMIF('Rig 103'!$B:$B,Lists!$A$4,'Rig 103'!$E:$E)</f>
        <v>0</v>
      </c>
      <c r="R6" s="34">
        <f>SUMIF('Rig 103'!$B:$B,Lists!$A$4,'Rig 103'!$F:$F)</f>
        <v>0</v>
      </c>
      <c r="S6" s="34">
        <f>SUMIF('Rig 103'!$B:$B,Lists!$A$4,'Rig 103'!$G:$G)</f>
        <v>0</v>
      </c>
      <c r="T6" s="34">
        <f>SUMIF('Rig 103'!$B:$B,Lists!$A$4,'Rig 103'!$H:$H)</f>
        <v>0</v>
      </c>
      <c r="U6" s="34">
        <f>SUMIF('Rig 103'!$B:$B,Lists!$A$4,'Rig 103'!$I:$I)</f>
        <v>0</v>
      </c>
      <c r="V6" s="34">
        <f>SUMIF('Rig 103'!$B:$B,Lists!$A$5,'Rig 103'!$C:$C)</f>
        <v>0</v>
      </c>
      <c r="W6" s="34">
        <f>SUMIF('Rig 103'!$B:$B,Lists!$A$5,'Rig 103'!$E:$E)</f>
        <v>0</v>
      </c>
      <c r="X6" s="34">
        <f>SUMIF('Rig 103'!$B:$B,Lists!$A$5,'Rig 103'!$F:$F)</f>
        <v>0</v>
      </c>
      <c r="Y6" s="34">
        <f>SUMIF('Rig 103'!$B:$B,Lists!$A$5,'Rig 103'!$G:$G)</f>
        <v>0</v>
      </c>
      <c r="Z6" s="34">
        <f>SUMIF('Rig 103'!$B:$B,Lists!$A$5,'Rig 103'!$H:$H)</f>
        <v>0</v>
      </c>
      <c r="AA6" s="34">
        <f>SUMIF('Rig 103'!$B:$B,Lists!$A$5,'Rig 103'!$I:$I)</f>
        <v>0</v>
      </c>
      <c r="AB6" s="34">
        <f>SUMIF('Rig 103'!$B:$B,Lists!$A$6,'Rig 103'!$C:$C)</f>
        <v>0</v>
      </c>
      <c r="AC6" s="34">
        <f>SUMIF('Rig 103'!$B:$B,Lists!$A$6,'Rig 103'!$E:$E)</f>
        <v>0</v>
      </c>
      <c r="AD6" s="34">
        <f>SUMIF('Rig 103'!$B:$B,Lists!$A$6,'Rig 103'!$F:$F)</f>
        <v>0</v>
      </c>
      <c r="AE6" s="34">
        <f>SUMIF('Rig 103'!$B:$B,Lists!$A$6,'Rig 103'!$G:$G)</f>
        <v>0</v>
      </c>
      <c r="AF6" s="34">
        <f>SUMIF('Rig 103'!$B:$B,Lists!$A$6,'Rig 103'!$H:$H)</f>
        <v>0</v>
      </c>
      <c r="AG6" s="34">
        <f>SUMIF('Rig 103'!$B:$B,Lists!$A$6,'Rig 103'!$I:$I)</f>
        <v>0</v>
      </c>
      <c r="AH6" s="34">
        <f>SUMIF('Rig 103'!$B:$B,Lists!$A$7,'Rig 103'!$C:$C)</f>
        <v>324</v>
      </c>
      <c r="AI6" s="34">
        <f>SUMIF('Rig 103'!$B:$B,Lists!$A$7,'Rig 103'!$E:$E)</f>
        <v>315</v>
      </c>
      <c r="AJ6" s="34">
        <f>SUMIF('Rig 103'!$B:$B,Lists!$A$7,'Rig 103'!$F:$F)</f>
        <v>0</v>
      </c>
      <c r="AK6" s="34">
        <f>SUMIF('Rig 103'!$B:$B,Lists!$A$7,'Rig 103'!$G:$G)</f>
        <v>0</v>
      </c>
      <c r="AL6" s="34">
        <f>SUMIF('Rig 103'!$B:$B,Lists!$A$7,'Rig 103'!$H:$H)</f>
        <v>0</v>
      </c>
      <c r="AM6" s="34">
        <f>SUMIF('Rig 103'!$B:$B,Lists!$A$7,'Rig 103'!$I:$I)</f>
        <v>0</v>
      </c>
      <c r="AN6" s="34">
        <f>SUMIF('Rig 103'!$B:$B,Lists!$A$8,'Rig 103'!$C:$C)</f>
        <v>0</v>
      </c>
      <c r="AO6" s="34">
        <f>SUMIF('Rig 103'!$B:$B,Lists!$A$8,'Rig 103'!$E:$E)</f>
        <v>0</v>
      </c>
      <c r="AP6" s="34">
        <f>SUMIF('Rig 103'!$B:$B,Lists!$A$8,'Rig 103'!$F:$F)</f>
        <v>0</v>
      </c>
      <c r="AQ6" s="34">
        <f>SUMIF('Rig 103'!$B:$B,Lists!$A$8,'Rig 103'!$G:$G)</f>
        <v>0</v>
      </c>
      <c r="AR6" s="34">
        <f>SUMIF('Rig 103'!$B:$B,Lists!$A$8,'Rig 103'!$H:$H)</f>
        <v>0</v>
      </c>
      <c r="AS6" s="34">
        <f>SUMIF('Rig 103'!$B:$B,Lists!$A$8,'Rig 103'!$I:$I)</f>
        <v>0</v>
      </c>
      <c r="AT6" s="34">
        <f>SUMIF('Rig 103'!$B:$B,Lists!$A$9,'Rig 103'!$C:$C)</f>
        <v>0</v>
      </c>
      <c r="AU6" s="34">
        <f>SUMIF('Rig 103'!$B:$B,Lists!$A$9,'Rig 103'!$E:$E)</f>
        <v>0</v>
      </c>
      <c r="AV6" s="34">
        <f>SUMIF('Rig 103'!$B:$B,Lists!$A$9,'Rig 103'!$F:$F)</f>
        <v>0</v>
      </c>
      <c r="AW6" s="34">
        <f>SUMIF('Rig 103'!$B:$B,Lists!$A$9,'Rig 103'!$G:$G)</f>
        <v>0</v>
      </c>
      <c r="AX6" s="34">
        <f>SUMIF('Rig 103'!$B:$B,Lists!$A$9,'Rig 103'!$H:$H)</f>
        <v>0</v>
      </c>
      <c r="AY6" s="34">
        <f>SUMIF('Rig 103'!$B:$B,Lists!$A$9,'Rig 103'!$I:$I)</f>
        <v>0</v>
      </c>
      <c r="AZ6" s="34">
        <f>SUMIF('Rig 103'!$B:$B,Lists!$A$10,'Rig 103'!$C:$C)</f>
        <v>0</v>
      </c>
      <c r="BA6" s="34">
        <f>SUMIF('Rig 103'!$B:$B,Lists!$A$10,'Rig 103'!$E:$E)</f>
        <v>0</v>
      </c>
      <c r="BB6" s="34">
        <f>SUMIF('Rig 103'!$B:$B,Lists!$A$10,'Rig 103'!$F:$F)</f>
        <v>0</v>
      </c>
      <c r="BC6" s="34">
        <f>SUMIF('Rig 103'!$B:$B,Lists!$A$10,'Rig 103'!$G:$G)</f>
        <v>0</v>
      </c>
      <c r="BD6" s="34">
        <f>SUMIF('Rig 103'!$B:$B,Lists!$A$10,'Rig 103'!$H:$H)</f>
        <v>0</v>
      </c>
      <c r="BE6" s="34">
        <f>SUMIF('Rig 103'!$B:$B,Lists!$A$10,'Rig 103'!$I:$I)</f>
        <v>0</v>
      </c>
      <c r="BF6" s="34">
        <f>SUMIF('Rig 103'!$B:$B,Lists!$A$11,'Rig 103'!$C:$C)</f>
        <v>324</v>
      </c>
      <c r="BG6" s="34">
        <f>SUMIF('Rig 103'!$B:$B,Lists!$A$11,'Rig 103'!$E:$E)</f>
        <v>0</v>
      </c>
      <c r="BH6" s="34">
        <f>SUMIF('Rig 103'!$B:$B,Lists!$A$11,'Rig 103'!$F:$F)</f>
        <v>0</v>
      </c>
      <c r="BI6" s="34">
        <f>SUMIF('Rig 103'!$B:$B,Lists!$A$11,'Rig 103'!$G:$G)</f>
        <v>0</v>
      </c>
      <c r="BJ6" s="34">
        <f>SUMIF('Rig 103'!$B:$B,Lists!$A$11,'Rig 103'!$H:$H)</f>
        <v>0</v>
      </c>
      <c r="BK6" s="34">
        <f>SUMIF('Rig 103'!$B:$B,Lists!$A$11,'Rig 103'!$I:$I)</f>
        <v>0</v>
      </c>
      <c r="BL6" s="34">
        <f>SUMIF('Rig 103'!$B:$B,Lists!$A$12,'Rig 103'!$C:$C)</f>
        <v>0</v>
      </c>
      <c r="BM6" s="34">
        <f>SUMIF('Rig 103'!$B:$B,Lists!$A$12,'Rig 103'!$E:$E)</f>
        <v>0</v>
      </c>
      <c r="BN6" s="34">
        <f>SUMIF('Rig 103'!$B:$B,Lists!$A$12,'Rig 103'!$F:$F)</f>
        <v>0</v>
      </c>
      <c r="BO6" s="34">
        <f>SUMIF('Rig 103'!$B:$B,Lists!$A$12,'Rig 103'!$G:$G)</f>
        <v>0</v>
      </c>
      <c r="BP6" s="34">
        <f>SUMIF('Rig 103'!$B:$B,Lists!$A$12,'Rig 103'!$H:$H)</f>
        <v>0</v>
      </c>
      <c r="BQ6" s="34">
        <f>SUMIF('Rig 103'!$B:$B,Lists!$A$12,'Rig 103'!$I:$I)</f>
        <v>0</v>
      </c>
      <c r="BR6" s="34">
        <f>SUMIF('Rig 103'!$B:$B,Lists!$A$13,'Rig 103'!$C:$C)</f>
        <v>0</v>
      </c>
      <c r="BS6" s="34">
        <f>SUMIF('Rig 103'!$B:$B,Lists!$A$13,'Rig 103'!$E:$E)</f>
        <v>0</v>
      </c>
      <c r="BT6" s="34">
        <f>SUMIF('Rig 103'!$B:$B,Lists!$A$13,'Rig 103'!$F:$F)</f>
        <v>0</v>
      </c>
      <c r="BU6" s="34">
        <f>SUMIF('Rig 103'!$B:$B,Lists!$A$13,'Rig 103'!$G:$G)</f>
        <v>0</v>
      </c>
      <c r="BV6" s="34">
        <f>SUMIF('Rig 103'!$B:$B,Lists!$A$13,'Rig 103'!$H:$H)</f>
        <v>0</v>
      </c>
      <c r="BW6" s="34">
        <f>SUMIF('Rig 103'!$B:$B,Lists!$A$13,'Rig 103'!$I:$I)</f>
        <v>0</v>
      </c>
      <c r="BX6" s="34">
        <f>SUMIF('Rig 103'!$B:$B,Lists!$A$14,'Rig 103'!$C:$C)</f>
        <v>0</v>
      </c>
      <c r="BY6" s="34">
        <f>SUMIF('Rig 103'!$B:$B,Lists!$A$14,'Rig 103'!$E:$E)</f>
        <v>0</v>
      </c>
      <c r="BZ6" s="34">
        <f>SUMIF('Rig 103'!$B:$B,Lists!$A$14,'Rig 103'!$F:$F)</f>
        <v>0</v>
      </c>
      <c r="CA6" s="34">
        <f>SUMIF('Rig 103'!$B:$B,Lists!$A$14,'Rig 103'!$G:$G)</f>
        <v>0</v>
      </c>
      <c r="CB6" s="34">
        <f>SUMIF('Rig 103'!$B:$B,Lists!$A$14,'Rig 103'!$H:$H)</f>
        <v>0</v>
      </c>
      <c r="CC6" s="34">
        <f>SUMIF('Rig 103'!$B:$B,Lists!$A$14,'Rig 103'!$I:$I)</f>
        <v>0</v>
      </c>
      <c r="CD6" s="34">
        <f>SUMIF('Rig 103'!$B:$B,Lists!$A$15,'Rig 103'!$C:$C)</f>
        <v>0</v>
      </c>
      <c r="CE6" s="34">
        <f>SUMIF('Rig 103'!$B:$B,Lists!$A$15,'Rig 103'!$E:$E)</f>
        <v>0</v>
      </c>
      <c r="CF6" s="34">
        <f>SUMIF('Rig 103'!$B:$B,Lists!$A$15,'Rig 103'!$F:$F)</f>
        <v>0</v>
      </c>
      <c r="CG6" s="34">
        <f>SUMIF('Rig 103'!$B:$B,Lists!$A$15,'Rig 103'!$G:$G)</f>
        <v>0</v>
      </c>
      <c r="CH6" s="34">
        <f>SUMIF('Rig 103'!$B:$B,Lists!$A$15,'Rig 103'!$H:$H)</f>
        <v>0</v>
      </c>
      <c r="CI6" s="34">
        <f>SUMIF('Rig 103'!$B:$B,Lists!$A$15,'Rig 103'!$I:$I)</f>
        <v>0</v>
      </c>
      <c r="CJ6" s="34">
        <f>SUMIF('Rig 103'!$B:$B,Lists!$A$16,'Rig 103'!$C:$C)</f>
        <v>0</v>
      </c>
      <c r="CK6" s="34">
        <f>SUMIF('Rig 103'!$B:$B,Lists!$A$16,'Rig 103'!$E:$E)</f>
        <v>0</v>
      </c>
      <c r="CL6" s="34">
        <f>SUMIF('Rig 103'!$B:$B,Lists!$A$16,'Rig 103'!$F:$F)</f>
        <v>0</v>
      </c>
      <c r="CM6" s="34">
        <f>SUMIF('Rig 103'!$B:$B,Lists!$A$16,'Rig 103'!$G:$G)</f>
        <v>0</v>
      </c>
      <c r="CN6" s="34">
        <f>SUMIF('Rig 103'!$B:$B,Lists!$A$16,'Rig 103'!$H:$H)</f>
        <v>0</v>
      </c>
      <c r="CO6" s="34">
        <f>SUMIF('Rig 103'!$B:$B,Lists!$A$16,'Rig 103'!$I:$I)</f>
        <v>0</v>
      </c>
      <c r="CP6" s="34">
        <f>SUMIF('Rig 103'!$B:$B,Lists!$A$17,'Rig 103'!$C:$C)</f>
        <v>0</v>
      </c>
      <c r="CQ6" s="34">
        <f>SUMIF('Rig 103'!$B:$B,Lists!$A$17,'Rig 103'!$E:$E)</f>
        <v>0</v>
      </c>
      <c r="CR6" s="34">
        <f>SUMIF('Rig 103'!$B:$B,Lists!$A$17,'Rig 103'!$F:$F)</f>
        <v>0</v>
      </c>
      <c r="CS6" s="34">
        <f>SUMIF('Rig 103'!$B:$B,Lists!$A$17,'Rig 103'!$G:$G)</f>
        <v>0</v>
      </c>
      <c r="CT6" s="34">
        <f>SUMIF('Rig 103'!$B:$B,Lists!$A$17,'Rig 103'!$H:$H)</f>
        <v>0</v>
      </c>
      <c r="CU6" s="34">
        <f>SUMIF('Rig 103'!$B:$B,Lists!$A$17,'Rig 103'!$I:$I)</f>
        <v>0</v>
      </c>
      <c r="CV6" s="34">
        <f>SUMIF('Rig 103'!$B:$B,Lists!$A$18,'Rig 103'!$C:$C)</f>
        <v>43</v>
      </c>
      <c r="CW6" s="34">
        <f>SUMIF('Rig 103'!$B:$B,Lists!$A$18,'Rig 103'!$E:$E)</f>
        <v>10</v>
      </c>
      <c r="CX6" s="34">
        <f>SUMIF('Rig 103'!$B:$B,Lists!$A$18,'Rig 103'!$F:$F)</f>
        <v>0</v>
      </c>
      <c r="CY6" s="34">
        <f>SUMIF('Rig 103'!$B:$B,Lists!$A$18,'Rig 103'!$G:$G)</f>
        <v>0</v>
      </c>
      <c r="CZ6" s="34">
        <f>SUMIF('Rig 103'!$B:$B,Lists!$A$18,'Rig 103'!$H:$H)</f>
        <v>0</v>
      </c>
      <c r="DA6" s="34">
        <f>SUMIF('Rig 103'!$B:$B,Lists!$A$18,'Rig 103'!$I:$I)</f>
        <v>0</v>
      </c>
      <c r="DB6" s="34">
        <f>SUMIF('Rig 103'!$B:$B,Lists!$A$19,'Rig 103'!$C:$C)</f>
        <v>43</v>
      </c>
      <c r="DC6" s="34">
        <f>SUMIF('Rig 103'!$B:$B,Lists!$A$19,'Rig 103'!$E:$E)</f>
        <v>0</v>
      </c>
      <c r="DD6" s="34">
        <f>SUMIF('Rig 103'!$B:$B,Lists!$A$19,'Rig 103'!$F:$F)</f>
        <v>0</v>
      </c>
      <c r="DE6" s="34">
        <f>SUMIF('Rig 103'!$B:$B,Lists!$A$19,'Rig 103'!$G:$G)</f>
        <v>0</v>
      </c>
      <c r="DF6" s="34">
        <f>SUMIF('Rig 103'!$B:$B,Lists!$A$19,'Rig 103'!$H:$H)</f>
        <v>0</v>
      </c>
      <c r="DG6" s="34">
        <f>SUMIF('Rig 103'!$B:$B,Lists!$A$19,'Rig 103'!$I:$I)</f>
        <v>0</v>
      </c>
      <c r="DH6" s="34">
        <f>SUMIF('Rig 103'!$B:$B,Lists!$A$20,'Rig 103'!$C:$C)</f>
        <v>0</v>
      </c>
      <c r="DI6" s="34">
        <f>SUMIF('Rig 103'!$B:$B,Lists!$A$20,'Rig 103'!$E:$E)</f>
        <v>0</v>
      </c>
      <c r="DJ6" s="34">
        <f>SUMIF('Rig 103'!$B:$B,Lists!$A$20,'Rig 103'!$F:$F)</f>
        <v>0</v>
      </c>
      <c r="DK6" s="34">
        <f>SUMIF('Rig 103'!$B:$B,Lists!$A$20,'Rig 103'!$G:$G)</f>
        <v>0</v>
      </c>
      <c r="DL6" s="34">
        <f>SUMIF('Rig 103'!$B:$B,Lists!$A$20,'Rig 103'!$H:$H)</f>
        <v>0</v>
      </c>
      <c r="DM6" s="34">
        <f>SUMIF('Rig 103'!$B:$B,Lists!$A$20,'Rig 103'!$I:$I)</f>
        <v>0</v>
      </c>
      <c r="DN6" s="34">
        <f>SUMIF('Rig 103'!$B:$B,Lists!$A$21,'Rig 103'!$C:$C)</f>
        <v>0</v>
      </c>
      <c r="DO6" s="34">
        <f>SUMIF('Rig 103'!$B:$B,Lists!$A$21,'Rig 103'!$E:$E)</f>
        <v>0</v>
      </c>
      <c r="DP6" s="34">
        <f>SUMIF('Rig 103'!$B:$B,Lists!$A$21,'Rig 103'!$F:$F)</f>
        <v>0</v>
      </c>
      <c r="DQ6" s="34">
        <f>SUMIF('Rig 103'!$B:$B,Lists!$A$21,'Rig 103'!$G:$G)</f>
        <v>0</v>
      </c>
      <c r="DR6" s="34">
        <f>SUMIF('Rig 103'!$B:$B,Lists!$A$21,'Rig 103'!$H:$H)</f>
        <v>0</v>
      </c>
      <c r="DS6" s="34">
        <f>SUMIF('Rig 103'!$B:$B,Lists!$A$21,'Rig 103'!$I:$I)</f>
        <v>0</v>
      </c>
      <c r="DT6" s="34">
        <f>SUMIF('Rig 103'!$B:$B,Lists!$A$22,'Rig 103'!$C:$C)</f>
        <v>0</v>
      </c>
      <c r="DU6" s="34">
        <f>SUMIF('Rig 103'!$B:$B,Lists!$A$22,'Rig 103'!$E:$E)</f>
        <v>3</v>
      </c>
      <c r="DV6" s="34">
        <f>SUMIF('Rig 103'!$B:$B,Lists!$A$22,'Rig 103'!$F:$F)</f>
        <v>0</v>
      </c>
      <c r="DW6" s="34">
        <f>SUMIF('Rig 103'!$B:$B,Lists!$A$22,'Rig 103'!$G:$G)</f>
        <v>0</v>
      </c>
      <c r="DX6" s="34">
        <f>SUMIF('Rig 103'!$B:$B,Lists!$A$22,'Rig 103'!$H:$H)</f>
        <v>0</v>
      </c>
      <c r="DY6" s="34">
        <f>SUMIF('Rig 103'!$B:$B,Lists!$A$22,'Rig 103'!$I:$I)</f>
        <v>0</v>
      </c>
      <c r="DZ6" s="34">
        <f>SUMIF('Rig 103'!$B:$B,Lists!$A$23,'Rig 103'!$C:$C)</f>
        <v>30</v>
      </c>
      <c r="EA6" s="34">
        <f>SUMIF('Rig 103'!$B:$B,Lists!$A$23,'Rig 103'!$E:$E)</f>
        <v>15</v>
      </c>
      <c r="EB6" s="34">
        <f>SUMIF('Rig 103'!$B:$B,Lists!$A$23,'Rig 103'!$F:$F)</f>
        <v>0</v>
      </c>
      <c r="EC6" s="34">
        <f>SUMIF('Rig 103'!$B:$B,Lists!$A$23,'Rig 103'!$G:$G)</f>
        <v>0</v>
      </c>
      <c r="ED6" s="34">
        <f>SUMIF('Rig 103'!$B:$B,Lists!$A$23,'Rig 103'!$H:$H)</f>
        <v>0</v>
      </c>
      <c r="EE6" s="34">
        <f>SUMIF('Rig 103'!$B:$B,Lists!$A$23,'Rig 103'!$I:$I)</f>
        <v>0</v>
      </c>
      <c r="EF6" s="34">
        <f>SUMIF('Rig 103'!$B:$B,Lists!$A$24,'Rig 103'!$C:$C)</f>
        <v>0</v>
      </c>
      <c r="EG6" s="34">
        <f>SUMIF('Rig 103'!$B:$B,Lists!$A$24,'Rig 103'!$E:$E)</f>
        <v>0</v>
      </c>
      <c r="EH6" s="34">
        <f>SUMIF('Rig 103'!$B:$B,Lists!$A$24,'Rig 103'!$F:$F)</f>
        <v>0</v>
      </c>
      <c r="EI6" s="34">
        <f>SUMIF('Rig 103'!$B:$B,Lists!$A$24,'Rig 103'!$G:$G)</f>
        <v>0</v>
      </c>
      <c r="EJ6" s="34">
        <f>SUMIF('Rig 103'!$B:$B,Lists!$A$24,'Rig 103'!$H:$H)</f>
        <v>0</v>
      </c>
      <c r="EK6" s="34">
        <f>SUMIF('Rig 103'!$B:$B,Lists!$A$24,'Rig 103'!$I:$I)</f>
        <v>0</v>
      </c>
      <c r="EL6" s="34">
        <f>SUMIF('Rig 103'!$B:$B,Lists!$A$25,'Rig 103'!$C:$C)</f>
        <v>30</v>
      </c>
      <c r="EM6" s="34">
        <f>SUMIF('Rig 103'!$B:$B,Lists!$A$25,'Rig 103'!$E:$E)</f>
        <v>0</v>
      </c>
      <c r="EN6" s="34">
        <f>SUMIF('Rig 103'!$B:$B,Lists!$A$25,'Rig 103'!$F:$F)</f>
        <v>0</v>
      </c>
      <c r="EO6" s="34">
        <f>SUMIF('Rig 103'!$B:$B,Lists!$A$25,'Rig 103'!$G:$G)</f>
        <v>0</v>
      </c>
      <c r="EP6" s="34">
        <f>SUMIF('Rig 103'!$B:$B,Lists!$A$25,'Rig 103'!$H:$H)</f>
        <v>0</v>
      </c>
      <c r="EQ6" s="34">
        <f>SUMIF('Rig 103'!$B:$B,Lists!$A$25,'Rig 103'!$I:$I)</f>
        <v>0</v>
      </c>
      <c r="ER6" s="34">
        <f>SUMIF('Rig 103'!$B:$B,Lists!$A$26,'Rig 103'!$C:$C)</f>
        <v>0</v>
      </c>
      <c r="ES6" s="34">
        <f>SUMIF('Rig 103'!$B:$B,Lists!$A$26,'Rig 103'!$E:$E)</f>
        <v>11</v>
      </c>
      <c r="ET6" s="34">
        <f>SUMIF('Rig 103'!$B:$B,Lists!$A$26,'Rig 103'!$F:$F)</f>
        <v>0</v>
      </c>
      <c r="EU6" s="34">
        <f>SUMIF('Rig 103'!$B:$B,Lists!$A$26,'Rig 103'!$G:$G)</f>
        <v>0</v>
      </c>
      <c r="EV6" s="34">
        <f>SUMIF('Rig 103'!$B:$B,Lists!$A$26,'Rig 103'!$H:$H)</f>
        <v>0</v>
      </c>
      <c r="EW6" s="34">
        <f>SUMIF('Rig 103'!$B:$B,Lists!$A$26,'Rig 103'!$I:$I)</f>
        <v>0</v>
      </c>
      <c r="EX6" s="34">
        <f>SUMIF('Rig 103'!$B:$B,Lists!$A$27,'Rig 103'!$C:$C)</f>
        <v>0</v>
      </c>
      <c r="EY6" s="34">
        <f>SUMIF('Rig 103'!$B:$B,Lists!$A$27,'Rig 103'!$E:$E)</f>
        <v>7</v>
      </c>
      <c r="EZ6" s="34">
        <f>SUMIF('Rig 103'!$B:$B,Lists!$A$27,'Rig 103'!$F:$F)</f>
        <v>0</v>
      </c>
      <c r="FA6" s="34">
        <f>SUMIF('Rig 103'!$B:$B,Lists!$A$27,'Rig 103'!$G:$G)</f>
        <v>0</v>
      </c>
      <c r="FB6" s="34">
        <f>SUMIF('Rig 103'!$B:$B,Lists!$A$27,'Rig 103'!$H:$H)</f>
        <v>0</v>
      </c>
      <c r="FC6" s="34">
        <f>SUMIF('Rig 103'!$B:$B,Lists!$A$27,'Rig 103'!$I:$I)</f>
        <v>0</v>
      </c>
      <c r="FD6" s="34">
        <f>SUMIF('Rig 103'!$B:$B,Lists!$A$28,'Rig 103'!$C:$C)</f>
        <v>0</v>
      </c>
      <c r="FE6" s="34">
        <f>SUMIF('Rig 103'!$B:$B,Lists!$A$28,'Rig 103'!$E:$E)</f>
        <v>0</v>
      </c>
      <c r="FF6" s="34">
        <f>SUMIF('Rig 103'!$B:$B,Lists!$A$28,'Rig 103'!$F:$F)</f>
        <v>0</v>
      </c>
      <c r="FG6" s="34">
        <f>SUMIF('Rig 103'!$B:$B,Lists!$A$28,'Rig 103'!$G:$G)</f>
        <v>0</v>
      </c>
      <c r="FH6" s="34">
        <f>SUMIF('Rig 103'!$B:$B,Lists!$A$28,'Rig 103'!$H:$H)</f>
        <v>0</v>
      </c>
      <c r="FI6" s="34">
        <f>SUMIF('Rig 103'!$B:$B,Lists!$A$28,'Rig 103'!$I:$I)</f>
        <v>0</v>
      </c>
      <c r="FJ6" s="34">
        <f>SUMIF('Rig 103'!$B:$B,Lists!$A$29,'Rig 103'!$C:$C)</f>
        <v>20</v>
      </c>
      <c r="FK6" s="34">
        <f>SUMIF('Rig 103'!$B:$B,Lists!$A$29,'Rig 103'!$E:$E)</f>
        <v>18</v>
      </c>
      <c r="FL6" s="34">
        <f>SUMIF('Rig 103'!$B:$B,Lists!$A$29,'Rig 103'!$F:$F)</f>
        <v>0</v>
      </c>
      <c r="FM6" s="34">
        <f>SUMIF('Rig 103'!$B:$B,Lists!$A$29,'Rig 103'!$G:$G)</f>
        <v>0</v>
      </c>
      <c r="FN6" s="34">
        <f>SUMIF('Rig 103'!$B:$B,Lists!$A$29,'Rig 103'!$H:$H)</f>
        <v>0</v>
      </c>
      <c r="FO6" s="34">
        <f>SUMIF('Rig 103'!$B:$B,Lists!$A$29,'Rig 103'!$I:$I)</f>
        <v>0</v>
      </c>
      <c r="FP6" s="34">
        <f>SUMIF('Rig 103'!$B:$B,Lists!$A$30,'Rig 103'!$C:$C)</f>
        <v>0</v>
      </c>
      <c r="FQ6" s="34">
        <f>SUMIF('Rig 103'!$B:$B,Lists!$A$30,'Rig 103'!$E:$E)</f>
        <v>0</v>
      </c>
      <c r="FR6" s="34">
        <f>SUMIF('Rig 103'!$B:$B,Lists!$A$30,'Rig 103'!$F:$F)</f>
        <v>0</v>
      </c>
      <c r="FS6" s="34">
        <f>SUMIF('Rig 103'!$B:$B,Lists!$A$30,'Rig 103'!$G:$G)</f>
        <v>0</v>
      </c>
      <c r="FT6" s="34">
        <f>SUMIF('Rig 103'!$B:$B,Lists!$A$30,'Rig 103'!$H:$H)</f>
        <v>0</v>
      </c>
      <c r="FU6" s="34">
        <f>SUMIF('Rig 103'!$B:$B,Lists!$A$30,'Rig 103'!$I:$I)</f>
        <v>0</v>
      </c>
      <c r="FV6" s="34">
        <f>SUMIF('Rig 103'!$B:$B,Lists!$A$31,'Rig 103'!$C:$C)</f>
        <v>0</v>
      </c>
      <c r="FW6" s="34">
        <f>SUMIF('Rig 103'!$B:$B,Lists!$A$31,'Rig 103'!$E:$E)</f>
        <v>0</v>
      </c>
      <c r="FX6" s="34">
        <f>SUMIF('Rig 103'!$B:$B,Lists!$A$31,'Rig 103'!$F:$F)</f>
        <v>0</v>
      </c>
      <c r="FY6" s="34">
        <f>SUMIF('Rig 103'!$B:$B,Lists!$A$31,'Rig 103'!$G:$G)</f>
        <v>0</v>
      </c>
      <c r="FZ6" s="34">
        <f>SUMIF('Rig 103'!$B:$B,Lists!$A$31,'Rig 103'!$H:$H)</f>
        <v>0</v>
      </c>
      <c r="GA6" s="34">
        <f>SUMIF('Rig 103'!$B:$B,Lists!$A$31,'Rig 103'!$I:$I)</f>
        <v>0</v>
      </c>
      <c r="GB6" s="34">
        <f>SUMIF('Rig 103'!$B:$B,Lists!$A$32,'Rig 103'!$C:$C)</f>
        <v>0</v>
      </c>
      <c r="GC6" s="34">
        <f>SUMIF('Rig 103'!$B:$B,Lists!$A$32,'Rig 103'!$E:$E)</f>
        <v>0</v>
      </c>
      <c r="GD6" s="34">
        <f>SUMIF('Rig 103'!$B:$B,Lists!$A$32,'Rig 103'!$F:$F)</f>
        <v>0</v>
      </c>
      <c r="GE6" s="34">
        <f>SUMIF('Rig 103'!$B:$B,Lists!$A$32,'Rig 103'!$G:$G)</f>
        <v>0</v>
      </c>
      <c r="GF6" s="34">
        <f>SUMIF('Rig 103'!$B:$B,Lists!$A$32,'Rig 103'!$H:$H)</f>
        <v>0</v>
      </c>
      <c r="GG6" s="34">
        <f>SUMIF('Rig 103'!$B:$B,Lists!$A$32,'Rig 103'!$I:$I)</f>
        <v>0</v>
      </c>
      <c r="GH6" s="34">
        <f>SUMIF('Rig 103'!$B:$B,Lists!$A$33,'Rig 103'!$C:$C)</f>
        <v>0</v>
      </c>
      <c r="GI6" s="34">
        <f>SUMIF('Rig 103'!$B:$B,Lists!$A$33,'Rig 103'!$E:$E)</f>
        <v>0</v>
      </c>
      <c r="GJ6" s="34">
        <f>SUMIF('Rig 103'!$B:$B,Lists!$A$33,'Rig 103'!$F:$F)</f>
        <v>0</v>
      </c>
      <c r="GK6" s="34">
        <f>SUMIF('Rig 103'!$B:$B,Lists!$A$33,'Rig 103'!$G:$G)</f>
        <v>0</v>
      </c>
      <c r="GL6" s="34">
        <f>SUMIF('Rig 103'!$B:$B,Lists!$A$33,'Rig 103'!$H:$H)</f>
        <v>0</v>
      </c>
      <c r="GM6" s="34">
        <f>SUMIF('Rig 103'!$B:$B,Lists!$A$33,'Rig 103'!$I:$I)</f>
        <v>0</v>
      </c>
      <c r="GN6" s="34">
        <f>SUMIF('Rig 103'!$B:$B,Lists!$A$34,'Rig 103'!$C:$C)</f>
        <v>0</v>
      </c>
      <c r="GO6" s="34">
        <f>SUMIF('Rig 103'!$B:$B,Lists!$A$34,'Rig 103'!$E:$E)</f>
        <v>0</v>
      </c>
      <c r="GP6" s="34">
        <f>SUMIF('Rig 103'!$B:$B,Lists!$A$34,'Rig 103'!$F:$F)</f>
        <v>0</v>
      </c>
      <c r="GQ6" s="34">
        <f>SUMIF('Rig 103'!$B:$B,Lists!$A$34,'Rig 103'!$G:$G)</f>
        <v>0</v>
      </c>
      <c r="GR6" s="34">
        <f>SUMIF('Rig 103'!$B:$B,Lists!$A$34,'Rig 103'!$H:$H)</f>
        <v>0</v>
      </c>
      <c r="GS6" s="34">
        <f>SUMIF('Rig 103'!$B:$B,Lists!$A$34,'Rig 103'!$I:$I)</f>
        <v>0</v>
      </c>
      <c r="GT6" s="34">
        <f>SUMIF('Rig 103'!$B:$B,Lists!$A$35,'Rig 103'!$C:$C)</f>
        <v>0</v>
      </c>
      <c r="GU6" s="34">
        <f>SUMIF('Rig 103'!$B:$B,Lists!$A$35,'Rig 103'!$E:$E)</f>
        <v>0</v>
      </c>
      <c r="GV6" s="34">
        <f>SUMIF('Rig 103'!$B:$B,Lists!$A$35,'Rig 103'!$F:$F)</f>
        <v>0</v>
      </c>
      <c r="GW6" s="34">
        <f>SUMIF('Rig 103'!$B:$B,Lists!$A$35,'Rig 103'!$G:$G)</f>
        <v>0</v>
      </c>
      <c r="GX6" s="34">
        <f>SUMIF('Rig 103'!$B:$B,Lists!$A$35,'Rig 103'!$H:$H)</f>
        <v>0</v>
      </c>
      <c r="GY6" s="34">
        <f>SUMIF('Rig 103'!$B:$B,Lists!$A$35,'Rig 103'!$I:$I)</f>
        <v>0</v>
      </c>
      <c r="GZ6" s="34">
        <f>SUMIF('Rig 103'!$B:$B,Lists!$A$36,'Rig 103'!$C:$C)</f>
        <v>0</v>
      </c>
      <c r="HA6" s="34">
        <f>SUMIF('Rig 103'!$B:$B,Lists!$A$36,'Rig 103'!$E:$E)</f>
        <v>0</v>
      </c>
      <c r="HB6" s="34">
        <f>SUMIF('Rig 103'!$B:$B,Lists!$A$36,'Rig 103'!$F:$F)</f>
        <v>0</v>
      </c>
      <c r="HC6" s="34">
        <f>SUMIF('Rig 103'!$B:$B,Lists!$A$36,'Rig 103'!$G:$G)</f>
        <v>0</v>
      </c>
      <c r="HD6" s="34">
        <f>SUMIF('Rig 103'!$B:$B,Lists!$A$36,'Rig 103'!$H:$H)</f>
        <v>0</v>
      </c>
      <c r="HE6" s="34">
        <f>SUMIF('Rig 103'!$B:$B,Lists!$A$36,'Rig 103'!$I:$I)</f>
        <v>0</v>
      </c>
      <c r="HF6" s="34">
        <f>SUMIF('Rig 103'!$B:$B,Lists!$A$37,'Rig 103'!$C:$C)</f>
        <v>0</v>
      </c>
      <c r="HG6" s="34">
        <f>SUMIF('Rig 103'!$B:$B,Lists!$A$37,'Rig 103'!$E:$E)</f>
        <v>0</v>
      </c>
      <c r="HH6" s="34">
        <f>SUMIF('Rig 103'!$B:$B,Lists!$A$37,'Rig 103'!$F:$F)</f>
        <v>0</v>
      </c>
      <c r="HI6" s="34">
        <f>SUMIF('Rig 103'!$B:$B,Lists!$A$37,'Rig 103'!$G:$G)</f>
        <v>0</v>
      </c>
      <c r="HJ6" s="34">
        <f>SUMIF('Rig 103'!$B:$B,Lists!$A$37,'Rig 103'!$H:$H)</f>
        <v>0</v>
      </c>
      <c r="HK6" s="34">
        <f>SUMIF('Rig 103'!$B:$B,Lists!$A$37,'Rig 103'!$I:$I)</f>
        <v>0</v>
      </c>
      <c r="HL6" s="34">
        <f>SUMIF('Rig 103'!$B:$B,Lists!$A$38,'Rig 103'!$C:$C)</f>
        <v>0</v>
      </c>
      <c r="HM6" s="34">
        <f>SUMIF('Rig 103'!$B:$B,Lists!$A$38,'Rig 103'!$E:$E)</f>
        <v>0</v>
      </c>
      <c r="HN6" s="34">
        <f>SUMIF('Rig 103'!$B:$B,Lists!$A$38,'Rig 103'!$F:$F)</f>
        <v>0</v>
      </c>
      <c r="HO6" s="34">
        <f>SUMIF('Rig 103'!$B:$B,Lists!$A$38,'Rig 103'!$G:$G)</f>
        <v>0</v>
      </c>
      <c r="HP6" s="34">
        <f>SUMIF('Rig 103'!$B:$B,Lists!$A$38,'Rig 103'!$H:$H)</f>
        <v>0</v>
      </c>
      <c r="HQ6" s="34">
        <f>SUMIF('Rig 103'!$B:$B,Lists!$A$38,'Rig 103'!$I:$I)</f>
        <v>0</v>
      </c>
      <c r="HR6" s="34">
        <f>SUMIF('Rig 103'!$B:$B,Lists!$A$39,'Rig 103'!$C:$C)</f>
        <v>6</v>
      </c>
      <c r="HS6" s="34">
        <f>SUMIF('Rig 103'!$B:$B,Lists!$A$39,'Rig 103'!$E:$E)</f>
        <v>0</v>
      </c>
      <c r="HT6" s="34">
        <f>SUMIF('Rig 103'!$B:$B,Lists!$A$39,'Rig 103'!$F:$F)</f>
        <v>0</v>
      </c>
      <c r="HU6" s="34">
        <f>SUMIF('Rig 103'!$B:$B,Lists!$A$39,'Rig 103'!$G:$G)</f>
        <v>0</v>
      </c>
      <c r="HV6" s="34">
        <f>SUMIF('Rig 103'!$B:$B,Lists!$A$39,'Rig 103'!$H:$H)</f>
        <v>0</v>
      </c>
      <c r="HW6" s="34">
        <f>SUMIF('Rig 103'!$B:$B,Lists!$A$39,'Rig 103'!$I:$I)</f>
        <v>0</v>
      </c>
      <c r="HX6" s="34">
        <f>SUMIF('Rig 103'!$B:$B,Lists!$A$40,'Rig 103'!$C:$C)</f>
        <v>0</v>
      </c>
      <c r="HY6" s="34">
        <f>SUMIF('Rig 103'!$B:$B,Lists!$A$40,'Rig 103'!$E:$E)</f>
        <v>0</v>
      </c>
      <c r="HZ6" s="34">
        <f>SUMIF('Rig 103'!$B:$B,Lists!$A$40,'Rig 103'!$F:$F)</f>
        <v>0</v>
      </c>
      <c r="IA6" s="34">
        <f>SUMIF('Rig 103'!$B:$B,Lists!$A$40,'Rig 103'!$G:$G)</f>
        <v>0</v>
      </c>
      <c r="IB6" s="34">
        <f>SUMIF('Rig 103'!$B:$B,Lists!$A$40,'Rig 103'!$H:$H)</f>
        <v>0</v>
      </c>
      <c r="IC6" s="34">
        <f>SUMIF('Rig 103'!$B:$B,Lists!$A$40,'Rig 103'!$I:$I)</f>
        <v>0</v>
      </c>
      <c r="ID6" s="34">
        <f>SUMIF('Rig 103'!$B:$B,Lists!$A$41,'Rig 103'!$C:$C)</f>
        <v>0</v>
      </c>
      <c r="IE6" s="34">
        <f>SUMIF('Rig 103'!$B:$B,Lists!$A$41,'Rig 103'!$E:$E)</f>
        <v>0</v>
      </c>
      <c r="IF6" s="34">
        <f>SUMIF('Rig 103'!$B:$B,Lists!$A$41,'Rig 103'!$F:$F)</f>
        <v>0</v>
      </c>
      <c r="IG6" s="34">
        <f>SUMIF('Rig 103'!$B:$B,Lists!$A$41,'Rig 103'!$G:$G)</f>
        <v>0</v>
      </c>
      <c r="IH6" s="34">
        <f>SUMIF('Rig 103'!$B:$B,Lists!$A$41,'Rig 103'!$H:$H)</f>
        <v>0</v>
      </c>
      <c r="II6" s="34">
        <f>SUMIF('Rig 103'!$B:$B,Lists!$A$41,'Rig 103'!$I:$I)</f>
        <v>0</v>
      </c>
    </row>
    <row r="7" spans="1:243" ht="19.5" customHeight="1" x14ac:dyDescent="0.3">
      <c r="A7" s="35" t="s">
        <v>78</v>
      </c>
      <c r="B7" s="36">
        <f>'Rig 104'!D2</f>
        <v>46173</v>
      </c>
      <c r="C7" s="37" t="s">
        <v>77</v>
      </c>
      <c r="D7" s="38">
        <f>SUMIF('Rig 104'!$B:$B,Lists!$A$2,'Rig 104'!$C:$C)</f>
        <v>0</v>
      </c>
      <c r="E7" s="38">
        <f>SUMIF('Rig 104'!$B:$B,Lists!$A$2,'Rig 104'!$E:$E)</f>
        <v>0</v>
      </c>
      <c r="F7" s="38">
        <f>SUMIF('Rig 104'!$B:$B,Lists!$A$2,'Rig 104'!$F:$F)</f>
        <v>0</v>
      </c>
      <c r="G7" s="38">
        <f>SUMIF('Rig 104'!$B:$B,Lists!$A$2,'Rig 104'!$G:$G)</f>
        <v>0</v>
      </c>
      <c r="H7" s="38">
        <f>SUMIF('Rig 104'!$B:$B,Lists!$A$2,'Rig 104'!$H:$H)</f>
        <v>0</v>
      </c>
      <c r="I7" s="38">
        <f>SUMIF('Rig 104'!$B:$B,Lists!$A$2,'Rig 104'!$I:$I)</f>
        <v>0</v>
      </c>
      <c r="J7" s="38">
        <f>SUMIF('Rig 104'!$B:$B,Lists!$A$3,'Rig 104'!$C:$C)</f>
        <v>0</v>
      </c>
      <c r="K7" s="38">
        <f>SUMIF('Rig 104'!$B:$B,Lists!$A$3,'Rig 104'!$E:$E)</f>
        <v>0</v>
      </c>
      <c r="L7" s="38">
        <f>SUMIF('Rig 104'!$B:$B,Lists!$A$3,'Rig 104'!$F:$F)</f>
        <v>0</v>
      </c>
      <c r="M7" s="38">
        <f>SUMIF('Rig 104'!$B:$B,Lists!$A$3,'Rig 104'!$G:$G)</f>
        <v>0</v>
      </c>
      <c r="N7" s="38">
        <f>SUMIF('Rig 104'!$B:$B,Lists!$A$3,'Rig 104'!$H:$H)</f>
        <v>0</v>
      </c>
      <c r="O7" s="38">
        <f>SUMIF('Rig 104'!$B:$B,Lists!$A$3,'Rig 104'!$I:$I)</f>
        <v>0</v>
      </c>
      <c r="P7" s="38">
        <f>SUMIF('Rig 104'!$B:$B,Lists!$A$4,'Rig 104'!$C:$C)</f>
        <v>0</v>
      </c>
      <c r="Q7" s="38">
        <f>SUMIF('Rig 104'!$B:$B,Lists!$A$4,'Rig 104'!$E:$E)</f>
        <v>0</v>
      </c>
      <c r="R7" s="38">
        <f>SUMIF('Rig 104'!$B:$B,Lists!$A$4,'Rig 104'!$F:$F)</f>
        <v>0</v>
      </c>
      <c r="S7" s="38">
        <f>SUMIF('Rig 104'!$B:$B,Lists!$A$4,'Rig 104'!$G:$G)</f>
        <v>0</v>
      </c>
      <c r="T7" s="38">
        <f>SUMIF('Rig 104'!$B:$B,Lists!$A$4,'Rig 104'!$H:$H)</f>
        <v>0</v>
      </c>
      <c r="U7" s="38">
        <f>SUMIF('Rig 104'!$B:$B,Lists!$A$4,'Rig 104'!$I:$I)</f>
        <v>0</v>
      </c>
      <c r="V7" s="38">
        <f>SUMIF('Rig 104'!$B:$B,Lists!$A$5,'Rig 104'!$C:$C)</f>
        <v>324</v>
      </c>
      <c r="W7" s="38">
        <f>SUMIF('Rig 104'!$B:$B,Lists!$A$5,'Rig 104'!$E:$E)</f>
        <v>0</v>
      </c>
      <c r="X7" s="38">
        <f>SUMIF('Rig 104'!$B:$B,Lists!$A$5,'Rig 104'!$F:$F)</f>
        <v>0</v>
      </c>
      <c r="Y7" s="38">
        <f>SUMIF('Rig 104'!$B:$B,Lists!$A$5,'Rig 104'!$G:$G)</f>
        <v>0</v>
      </c>
      <c r="Z7" s="38">
        <f>SUMIF('Rig 104'!$B:$B,Lists!$A$5,'Rig 104'!$H:$H)</f>
        <v>0</v>
      </c>
      <c r="AA7" s="38">
        <f>SUMIF('Rig 104'!$B:$B,Lists!$A$5,'Rig 104'!$I:$I)</f>
        <v>0</v>
      </c>
      <c r="AB7" s="38">
        <f>SUMIF('Rig 104'!$B:$B,Lists!$A$6,'Rig 104'!$C:$C)</f>
        <v>0</v>
      </c>
      <c r="AC7" s="38">
        <f>SUMIF('Rig 104'!$B:$B,Lists!$A$6,'Rig 104'!$E:$E)</f>
        <v>0</v>
      </c>
      <c r="AD7" s="38">
        <f>SUMIF('Rig 104'!$B:$B,Lists!$A$6,'Rig 104'!$F:$F)</f>
        <v>0</v>
      </c>
      <c r="AE7" s="38">
        <f>SUMIF('Rig 104'!$B:$B,Lists!$A$6,'Rig 104'!$G:$G)</f>
        <v>0</v>
      </c>
      <c r="AF7" s="38">
        <f>SUMIF('Rig 104'!$B:$B,Lists!$A$6,'Rig 104'!$H:$H)</f>
        <v>0</v>
      </c>
      <c r="AG7" s="38">
        <f>SUMIF('Rig 104'!$B:$B,Lists!$A$6,'Rig 104'!$I:$I)</f>
        <v>0</v>
      </c>
      <c r="AH7" s="38">
        <f>SUMIF('Rig 104'!$B:$B,Lists!$A$7,'Rig 104'!$C:$C)</f>
        <v>0</v>
      </c>
      <c r="AI7" s="38">
        <f>SUMIF('Rig 104'!$B:$B,Lists!$A$7,'Rig 104'!$E:$E)</f>
        <v>0</v>
      </c>
      <c r="AJ7" s="38">
        <f>SUMIF('Rig 104'!$B:$B,Lists!$A$7,'Rig 104'!$F:$F)</f>
        <v>0</v>
      </c>
      <c r="AK7" s="38">
        <f>SUMIF('Rig 104'!$B:$B,Lists!$A$7,'Rig 104'!$G:$G)</f>
        <v>0</v>
      </c>
      <c r="AL7" s="38">
        <f>SUMIF('Rig 104'!$B:$B,Lists!$A$7,'Rig 104'!$H:$H)</f>
        <v>0</v>
      </c>
      <c r="AM7" s="38">
        <f>SUMIF('Rig 104'!$B:$B,Lists!$A$7,'Rig 104'!$I:$I)</f>
        <v>0</v>
      </c>
      <c r="AN7" s="38">
        <f>SUMIF('Rig 104'!$B:$B,Lists!$A$8,'Rig 104'!$C:$C)</f>
        <v>0</v>
      </c>
      <c r="AO7" s="38">
        <f>SUMIF('Rig 104'!$B:$B,Lists!$A$8,'Rig 104'!$E:$E)</f>
        <v>0</v>
      </c>
      <c r="AP7" s="38">
        <f>SUMIF('Rig 104'!$B:$B,Lists!$A$8,'Rig 104'!$F:$F)</f>
        <v>0</v>
      </c>
      <c r="AQ7" s="38">
        <f>SUMIF('Rig 104'!$B:$B,Lists!$A$8,'Rig 104'!$G:$G)</f>
        <v>0</v>
      </c>
      <c r="AR7" s="38">
        <f>SUMIF('Rig 104'!$B:$B,Lists!$A$8,'Rig 104'!$H:$H)</f>
        <v>0</v>
      </c>
      <c r="AS7" s="38">
        <f>SUMIF('Rig 104'!$B:$B,Lists!$A$8,'Rig 104'!$I:$I)</f>
        <v>0</v>
      </c>
      <c r="AT7" s="38">
        <f>SUMIF('Rig 104'!$B:$B,Lists!$A$9,'Rig 104'!$C:$C)</f>
        <v>0</v>
      </c>
      <c r="AU7" s="38">
        <f>SUMIF('Rig 104'!$B:$B,Lists!$A$9,'Rig 104'!$E:$E)</f>
        <v>0</v>
      </c>
      <c r="AV7" s="38">
        <f>SUMIF('Rig 104'!$B:$B,Lists!$A$9,'Rig 104'!$F:$F)</f>
        <v>0</v>
      </c>
      <c r="AW7" s="38">
        <f>SUMIF('Rig 104'!$B:$B,Lists!$A$9,'Rig 104'!$G:$G)</f>
        <v>0</v>
      </c>
      <c r="AX7" s="38">
        <f>SUMIF('Rig 104'!$B:$B,Lists!$A$9,'Rig 104'!$H:$H)</f>
        <v>0</v>
      </c>
      <c r="AY7" s="38">
        <f>SUMIF('Rig 104'!$B:$B,Lists!$A$9,'Rig 104'!$I:$I)</f>
        <v>0</v>
      </c>
      <c r="AZ7" s="38">
        <f>SUMIF('Rig 104'!$B:$B,Lists!$A$10,'Rig 104'!$C:$C)</f>
        <v>0</v>
      </c>
      <c r="BA7" s="38">
        <f>SUMIF('Rig 104'!$B:$B,Lists!$A$10,'Rig 104'!$E:$E)</f>
        <v>0</v>
      </c>
      <c r="BB7" s="38">
        <f>SUMIF('Rig 104'!$B:$B,Lists!$A$10,'Rig 104'!$F:$F)</f>
        <v>0</v>
      </c>
      <c r="BC7" s="38">
        <f>SUMIF('Rig 104'!$B:$B,Lists!$A$10,'Rig 104'!$G:$G)</f>
        <v>0</v>
      </c>
      <c r="BD7" s="38">
        <f>SUMIF('Rig 104'!$B:$B,Lists!$A$10,'Rig 104'!$H:$H)</f>
        <v>0</v>
      </c>
      <c r="BE7" s="38">
        <f>SUMIF('Rig 104'!$B:$B,Lists!$A$10,'Rig 104'!$I:$I)</f>
        <v>0</v>
      </c>
      <c r="BF7" s="38">
        <f>SUMIF('Rig 104'!$B:$B,Lists!$A$11,'Rig 104'!$C:$C)</f>
        <v>324</v>
      </c>
      <c r="BG7" s="38">
        <f>SUMIF('Rig 104'!$B:$B,Lists!$A$11,'Rig 104'!$E:$E)</f>
        <v>0</v>
      </c>
      <c r="BH7" s="38">
        <f>SUMIF('Rig 104'!$B:$B,Lists!$A$11,'Rig 104'!$F:$F)</f>
        <v>0</v>
      </c>
      <c r="BI7" s="38">
        <f>SUMIF('Rig 104'!$B:$B,Lists!$A$11,'Rig 104'!$G:$G)</f>
        <v>0</v>
      </c>
      <c r="BJ7" s="38">
        <f>SUMIF('Rig 104'!$B:$B,Lists!$A$11,'Rig 104'!$H:$H)</f>
        <v>0</v>
      </c>
      <c r="BK7" s="38">
        <f>SUMIF('Rig 104'!$B:$B,Lists!$A$11,'Rig 104'!$I:$I)</f>
        <v>0</v>
      </c>
      <c r="BL7" s="38">
        <f>SUMIF('Rig 104'!$B:$B,Lists!$A$12,'Rig 104'!$C:$C)</f>
        <v>0</v>
      </c>
      <c r="BM7" s="38">
        <f>SUMIF('Rig 104'!$B:$B,Lists!$A$12,'Rig 104'!$E:$E)</f>
        <v>0</v>
      </c>
      <c r="BN7" s="38">
        <f>SUMIF('Rig 104'!$B:$B,Lists!$A$12,'Rig 104'!$F:$F)</f>
        <v>0</v>
      </c>
      <c r="BO7" s="38">
        <f>SUMIF('Rig 104'!$B:$B,Lists!$A$12,'Rig 104'!$G:$G)</f>
        <v>0</v>
      </c>
      <c r="BP7" s="38">
        <f>SUMIF('Rig 104'!$B:$B,Lists!$A$12,'Rig 104'!$H:$H)</f>
        <v>0</v>
      </c>
      <c r="BQ7" s="38">
        <f>SUMIF('Rig 104'!$B:$B,Lists!$A$12,'Rig 104'!$I:$I)</f>
        <v>0</v>
      </c>
      <c r="BR7" s="38">
        <f>SUMIF('Rig 104'!$B:$B,Lists!$A$13,'Rig 104'!$C:$C)</f>
        <v>0</v>
      </c>
      <c r="BS7" s="38">
        <f>SUMIF('Rig 104'!$B:$B,Lists!$A$13,'Rig 104'!$E:$E)</f>
        <v>0</v>
      </c>
      <c r="BT7" s="38">
        <f>SUMIF('Rig 104'!$B:$B,Lists!$A$13,'Rig 104'!$F:$F)</f>
        <v>0</v>
      </c>
      <c r="BU7" s="38">
        <f>SUMIF('Rig 104'!$B:$B,Lists!$A$13,'Rig 104'!$G:$G)</f>
        <v>0</v>
      </c>
      <c r="BV7" s="38">
        <f>SUMIF('Rig 104'!$B:$B,Lists!$A$13,'Rig 104'!$H:$H)</f>
        <v>0</v>
      </c>
      <c r="BW7" s="38">
        <f>SUMIF('Rig 104'!$B:$B,Lists!$A$13,'Rig 104'!$I:$I)</f>
        <v>0</v>
      </c>
      <c r="BX7" s="38">
        <f>SUMIF('Rig 104'!$B:$B,Lists!$A$14,'Rig 104'!$C:$C)</f>
        <v>0</v>
      </c>
      <c r="BY7" s="38">
        <f>SUMIF('Rig 104'!$B:$B,Lists!$A$14,'Rig 104'!$E:$E)</f>
        <v>0</v>
      </c>
      <c r="BZ7" s="38">
        <f>SUMIF('Rig 104'!$B:$B,Lists!$A$14,'Rig 104'!$F:$F)</f>
        <v>0</v>
      </c>
      <c r="CA7" s="38">
        <f>SUMIF('Rig 104'!$B:$B,Lists!$A$14,'Rig 104'!$G:$G)</f>
        <v>0</v>
      </c>
      <c r="CB7" s="38">
        <f>SUMIF('Rig 104'!$B:$B,Lists!$A$14,'Rig 104'!$H:$H)</f>
        <v>0</v>
      </c>
      <c r="CC7" s="38">
        <f>SUMIF('Rig 104'!$B:$B,Lists!$A$14,'Rig 104'!$I:$I)</f>
        <v>0</v>
      </c>
      <c r="CD7" s="38">
        <f>SUMIF('Rig 104'!$B:$B,Lists!$A$15,'Rig 104'!$C:$C)</f>
        <v>0</v>
      </c>
      <c r="CE7" s="38">
        <f>SUMIF('Rig 104'!$B:$B,Lists!$A$15,'Rig 104'!$E:$E)</f>
        <v>0</v>
      </c>
      <c r="CF7" s="38">
        <f>SUMIF('Rig 104'!$B:$B,Lists!$A$15,'Rig 104'!$F:$F)</f>
        <v>0</v>
      </c>
      <c r="CG7" s="38">
        <f>SUMIF('Rig 104'!$B:$B,Lists!$A$15,'Rig 104'!$G:$G)</f>
        <v>0</v>
      </c>
      <c r="CH7" s="38">
        <f>SUMIF('Rig 104'!$B:$B,Lists!$A$15,'Rig 104'!$H:$H)</f>
        <v>0</v>
      </c>
      <c r="CI7" s="38">
        <f>SUMIF('Rig 104'!$B:$B,Lists!$A$15,'Rig 104'!$I:$I)</f>
        <v>0</v>
      </c>
      <c r="CJ7" s="38">
        <f>SUMIF('Rig 104'!$B:$B,Lists!$A$16,'Rig 104'!$C:$C)</f>
        <v>0</v>
      </c>
      <c r="CK7" s="38">
        <f>SUMIF('Rig 104'!$B:$B,Lists!$A$16,'Rig 104'!$E:$E)</f>
        <v>0</v>
      </c>
      <c r="CL7" s="38">
        <f>SUMIF('Rig 104'!$B:$B,Lists!$A$16,'Rig 104'!$F:$F)</f>
        <v>0</v>
      </c>
      <c r="CM7" s="38">
        <f>SUMIF('Rig 104'!$B:$B,Lists!$A$16,'Rig 104'!$G:$G)</f>
        <v>0</v>
      </c>
      <c r="CN7" s="38">
        <f>SUMIF('Rig 104'!$B:$B,Lists!$A$16,'Rig 104'!$H:$H)</f>
        <v>0</v>
      </c>
      <c r="CO7" s="38">
        <f>SUMIF('Rig 104'!$B:$B,Lists!$A$16,'Rig 104'!$I:$I)</f>
        <v>0</v>
      </c>
      <c r="CP7" s="38">
        <f>SUMIF('Rig 104'!$B:$B,Lists!$A$17,'Rig 104'!$C:$C)</f>
        <v>0</v>
      </c>
      <c r="CQ7" s="38">
        <f>SUMIF('Rig 104'!$B:$B,Lists!$A$17,'Rig 104'!$E:$E)</f>
        <v>0</v>
      </c>
      <c r="CR7" s="38">
        <f>SUMIF('Rig 104'!$B:$B,Lists!$A$17,'Rig 104'!$F:$F)</f>
        <v>0</v>
      </c>
      <c r="CS7" s="38">
        <f>SUMIF('Rig 104'!$B:$B,Lists!$A$17,'Rig 104'!$G:$G)</f>
        <v>0</v>
      </c>
      <c r="CT7" s="38">
        <f>SUMIF('Rig 104'!$B:$B,Lists!$A$17,'Rig 104'!$H:$H)</f>
        <v>0</v>
      </c>
      <c r="CU7" s="38">
        <f>SUMIF('Rig 104'!$B:$B,Lists!$A$17,'Rig 104'!$I:$I)</f>
        <v>0</v>
      </c>
      <c r="CV7" s="38">
        <f>SUMIF('Rig 104'!$B:$B,Lists!$A$18,'Rig 104'!$C:$C)</f>
        <v>43</v>
      </c>
      <c r="CW7" s="38">
        <f>SUMIF('Rig 104'!$B:$B,Lists!$A$18,'Rig 104'!$E:$E)</f>
        <v>0</v>
      </c>
      <c r="CX7" s="38">
        <f>SUMIF('Rig 104'!$B:$B,Lists!$A$18,'Rig 104'!$F:$F)</f>
        <v>0</v>
      </c>
      <c r="CY7" s="38">
        <f>SUMIF('Rig 104'!$B:$B,Lists!$A$18,'Rig 104'!$G:$G)</f>
        <v>0</v>
      </c>
      <c r="CZ7" s="38">
        <f>SUMIF('Rig 104'!$B:$B,Lists!$A$18,'Rig 104'!$H:$H)</f>
        <v>0</v>
      </c>
      <c r="DA7" s="38">
        <f>SUMIF('Rig 104'!$B:$B,Lists!$A$18,'Rig 104'!$I:$I)</f>
        <v>0</v>
      </c>
      <c r="DB7" s="38">
        <f>SUMIF('Rig 104'!$B:$B,Lists!$A$19,'Rig 104'!$C:$C)</f>
        <v>43</v>
      </c>
      <c r="DC7" s="38">
        <f>SUMIF('Rig 104'!$B:$B,Lists!$A$19,'Rig 104'!$E:$E)</f>
        <v>0</v>
      </c>
      <c r="DD7" s="38">
        <f>SUMIF('Rig 104'!$B:$B,Lists!$A$19,'Rig 104'!$F:$F)</f>
        <v>0</v>
      </c>
      <c r="DE7" s="38">
        <f>SUMIF('Rig 104'!$B:$B,Lists!$A$19,'Rig 104'!$G:$G)</f>
        <v>0</v>
      </c>
      <c r="DF7" s="38">
        <f>SUMIF('Rig 104'!$B:$B,Lists!$A$19,'Rig 104'!$H:$H)</f>
        <v>0</v>
      </c>
      <c r="DG7" s="38">
        <f>SUMIF('Rig 104'!$B:$B,Lists!$A$19,'Rig 104'!$I:$I)</f>
        <v>0</v>
      </c>
      <c r="DH7" s="38">
        <f>SUMIF('Rig 104'!$B:$B,Lists!$A$20,'Rig 104'!$C:$C)</f>
        <v>0</v>
      </c>
      <c r="DI7" s="38">
        <f>SUMIF('Rig 104'!$B:$B,Lists!$A$20,'Rig 104'!$E:$E)</f>
        <v>0</v>
      </c>
      <c r="DJ7" s="38">
        <f>SUMIF('Rig 104'!$B:$B,Lists!$A$20,'Rig 104'!$F:$F)</f>
        <v>0</v>
      </c>
      <c r="DK7" s="38">
        <f>SUMIF('Rig 104'!$B:$B,Lists!$A$20,'Rig 104'!$G:$G)</f>
        <v>0</v>
      </c>
      <c r="DL7" s="38">
        <f>SUMIF('Rig 104'!$B:$B,Lists!$A$20,'Rig 104'!$H:$H)</f>
        <v>0</v>
      </c>
      <c r="DM7" s="38">
        <f>SUMIF('Rig 104'!$B:$B,Lists!$A$20,'Rig 104'!$I:$I)</f>
        <v>0</v>
      </c>
      <c r="DN7" s="38">
        <f>SUMIF('Rig 104'!$B:$B,Lists!$A$21,'Rig 104'!$C:$C)</f>
        <v>0</v>
      </c>
      <c r="DO7" s="38">
        <f>SUMIF('Rig 104'!$B:$B,Lists!$A$21,'Rig 104'!$E:$E)</f>
        <v>0</v>
      </c>
      <c r="DP7" s="38">
        <f>SUMIF('Rig 104'!$B:$B,Lists!$A$21,'Rig 104'!$F:$F)</f>
        <v>0</v>
      </c>
      <c r="DQ7" s="38">
        <f>SUMIF('Rig 104'!$B:$B,Lists!$A$21,'Rig 104'!$G:$G)</f>
        <v>0</v>
      </c>
      <c r="DR7" s="38">
        <f>SUMIF('Rig 104'!$B:$B,Lists!$A$21,'Rig 104'!$H:$H)</f>
        <v>0</v>
      </c>
      <c r="DS7" s="38">
        <f>SUMIF('Rig 104'!$B:$B,Lists!$A$21,'Rig 104'!$I:$I)</f>
        <v>0</v>
      </c>
      <c r="DT7" s="38">
        <f>SUMIF('Rig 104'!$B:$B,Lists!$A$22,'Rig 104'!$C:$C)</f>
        <v>0</v>
      </c>
      <c r="DU7" s="38">
        <f>SUMIF('Rig 104'!$B:$B,Lists!$A$22,'Rig 104'!$E:$E)</f>
        <v>0</v>
      </c>
      <c r="DV7" s="38">
        <f>SUMIF('Rig 104'!$B:$B,Lists!$A$22,'Rig 104'!$F:$F)</f>
        <v>0</v>
      </c>
      <c r="DW7" s="38">
        <f>SUMIF('Rig 104'!$B:$B,Lists!$A$22,'Rig 104'!$G:$G)</f>
        <v>0</v>
      </c>
      <c r="DX7" s="38">
        <f>SUMIF('Rig 104'!$B:$B,Lists!$A$22,'Rig 104'!$H:$H)</f>
        <v>0</v>
      </c>
      <c r="DY7" s="38">
        <f>SUMIF('Rig 104'!$B:$B,Lists!$A$22,'Rig 104'!$I:$I)</f>
        <v>0</v>
      </c>
      <c r="DZ7" s="38">
        <f>SUMIF('Rig 104'!$B:$B,Lists!$A$23,'Rig 104'!$C:$C)</f>
        <v>0</v>
      </c>
      <c r="EA7" s="38">
        <f>SUMIF('Rig 104'!$B:$B,Lists!$A$23,'Rig 104'!$E:$E)</f>
        <v>0</v>
      </c>
      <c r="EB7" s="38">
        <f>SUMIF('Rig 104'!$B:$B,Lists!$A$23,'Rig 104'!$F:$F)</f>
        <v>0</v>
      </c>
      <c r="EC7" s="38">
        <f>SUMIF('Rig 104'!$B:$B,Lists!$A$23,'Rig 104'!$G:$G)</f>
        <v>0</v>
      </c>
      <c r="ED7" s="38">
        <f>SUMIF('Rig 104'!$B:$B,Lists!$A$23,'Rig 104'!$H:$H)</f>
        <v>0</v>
      </c>
      <c r="EE7" s="38">
        <f>SUMIF('Rig 104'!$B:$B,Lists!$A$23,'Rig 104'!$I:$I)</f>
        <v>0</v>
      </c>
      <c r="EF7" s="38">
        <f>SUMIF('Rig 104'!$B:$B,Lists!$A$24,'Rig 104'!$C:$C)</f>
        <v>30</v>
      </c>
      <c r="EG7" s="38">
        <f>SUMIF('Rig 104'!$B:$B,Lists!$A$24,'Rig 104'!$E:$E)</f>
        <v>0</v>
      </c>
      <c r="EH7" s="38">
        <f>SUMIF('Rig 104'!$B:$B,Lists!$A$24,'Rig 104'!$F:$F)</f>
        <v>0</v>
      </c>
      <c r="EI7" s="38">
        <f>SUMIF('Rig 104'!$B:$B,Lists!$A$24,'Rig 104'!$G:$G)</f>
        <v>0</v>
      </c>
      <c r="EJ7" s="38">
        <f>SUMIF('Rig 104'!$B:$B,Lists!$A$24,'Rig 104'!$H:$H)</f>
        <v>0</v>
      </c>
      <c r="EK7" s="38">
        <f>SUMIF('Rig 104'!$B:$B,Lists!$A$24,'Rig 104'!$I:$I)</f>
        <v>0</v>
      </c>
      <c r="EL7" s="38">
        <f>SUMIF('Rig 104'!$B:$B,Lists!$A$25,'Rig 104'!$C:$C)</f>
        <v>30</v>
      </c>
      <c r="EM7" s="38">
        <f>SUMIF('Rig 104'!$B:$B,Lists!$A$25,'Rig 104'!$E:$E)</f>
        <v>0</v>
      </c>
      <c r="EN7" s="38">
        <f>SUMIF('Rig 104'!$B:$B,Lists!$A$25,'Rig 104'!$F:$F)</f>
        <v>0</v>
      </c>
      <c r="EO7" s="38">
        <f>SUMIF('Rig 104'!$B:$B,Lists!$A$25,'Rig 104'!$G:$G)</f>
        <v>0</v>
      </c>
      <c r="EP7" s="38">
        <f>SUMIF('Rig 104'!$B:$B,Lists!$A$25,'Rig 104'!$H:$H)</f>
        <v>0</v>
      </c>
      <c r="EQ7" s="38">
        <f>SUMIF('Rig 104'!$B:$B,Lists!$A$25,'Rig 104'!$I:$I)</f>
        <v>0</v>
      </c>
      <c r="ER7" s="38">
        <f>SUMIF('Rig 104'!$B:$B,Lists!$A$26,'Rig 104'!$C:$C)</f>
        <v>0</v>
      </c>
      <c r="ES7" s="38">
        <f>SUMIF('Rig 104'!$B:$B,Lists!$A$26,'Rig 104'!$E:$E)</f>
        <v>0</v>
      </c>
      <c r="ET7" s="38">
        <f>SUMIF('Rig 104'!$B:$B,Lists!$A$26,'Rig 104'!$F:$F)</f>
        <v>0</v>
      </c>
      <c r="EU7" s="38">
        <f>SUMIF('Rig 104'!$B:$B,Lists!$A$26,'Rig 104'!$G:$G)</f>
        <v>0</v>
      </c>
      <c r="EV7" s="38">
        <f>SUMIF('Rig 104'!$B:$B,Lists!$A$26,'Rig 104'!$H:$H)</f>
        <v>0</v>
      </c>
      <c r="EW7" s="38">
        <f>SUMIF('Rig 104'!$B:$B,Lists!$A$26,'Rig 104'!$I:$I)</f>
        <v>0</v>
      </c>
      <c r="EX7" s="38">
        <f>SUMIF('Rig 104'!$B:$B,Lists!$A$27,'Rig 104'!$C:$C)</f>
        <v>0</v>
      </c>
      <c r="EY7" s="38">
        <f>SUMIF('Rig 104'!$B:$B,Lists!$A$27,'Rig 104'!$E:$E)</f>
        <v>0</v>
      </c>
      <c r="EZ7" s="38">
        <f>SUMIF('Rig 104'!$B:$B,Lists!$A$27,'Rig 104'!$F:$F)</f>
        <v>0</v>
      </c>
      <c r="FA7" s="38">
        <f>SUMIF('Rig 104'!$B:$B,Lists!$A$27,'Rig 104'!$G:$G)</f>
        <v>0</v>
      </c>
      <c r="FB7" s="38">
        <f>SUMIF('Rig 104'!$B:$B,Lists!$A$27,'Rig 104'!$H:$H)</f>
        <v>0</v>
      </c>
      <c r="FC7" s="38">
        <f>SUMIF('Rig 104'!$B:$B,Lists!$A$27,'Rig 104'!$I:$I)</f>
        <v>0</v>
      </c>
      <c r="FD7" s="38">
        <f>SUMIF('Rig 104'!$B:$B,Lists!$A$28,'Rig 104'!$C:$C)</f>
        <v>0</v>
      </c>
      <c r="FE7" s="38">
        <f>SUMIF('Rig 104'!$B:$B,Lists!$A$28,'Rig 104'!$E:$E)</f>
        <v>0</v>
      </c>
      <c r="FF7" s="38">
        <f>SUMIF('Rig 104'!$B:$B,Lists!$A$28,'Rig 104'!$F:$F)</f>
        <v>0</v>
      </c>
      <c r="FG7" s="38">
        <f>SUMIF('Rig 104'!$B:$B,Lists!$A$28,'Rig 104'!$G:$G)</f>
        <v>0</v>
      </c>
      <c r="FH7" s="38">
        <f>SUMIF('Rig 104'!$B:$B,Lists!$A$28,'Rig 104'!$H:$H)</f>
        <v>0</v>
      </c>
      <c r="FI7" s="38">
        <f>SUMIF('Rig 104'!$B:$B,Lists!$A$28,'Rig 104'!$I:$I)</f>
        <v>0</v>
      </c>
      <c r="FJ7" s="38">
        <f>SUMIF('Rig 104'!$B:$B,Lists!$A$29,'Rig 104'!$C:$C)</f>
        <v>20</v>
      </c>
      <c r="FK7" s="38">
        <f>SUMIF('Rig 104'!$B:$B,Lists!$A$29,'Rig 104'!$E:$E)</f>
        <v>0</v>
      </c>
      <c r="FL7" s="38">
        <f>SUMIF('Rig 104'!$B:$B,Lists!$A$29,'Rig 104'!$F:$F)</f>
        <v>0</v>
      </c>
      <c r="FM7" s="38">
        <f>SUMIF('Rig 104'!$B:$B,Lists!$A$29,'Rig 104'!$G:$G)</f>
        <v>0</v>
      </c>
      <c r="FN7" s="38">
        <f>SUMIF('Rig 104'!$B:$B,Lists!$A$29,'Rig 104'!$H:$H)</f>
        <v>0</v>
      </c>
      <c r="FO7" s="38">
        <f>SUMIF('Rig 104'!$B:$B,Lists!$A$29,'Rig 104'!$I:$I)</f>
        <v>0</v>
      </c>
      <c r="FP7" s="38">
        <f>SUMIF('Rig 104'!$B:$B,Lists!$A$30,'Rig 104'!$C:$C)</f>
        <v>0</v>
      </c>
      <c r="FQ7" s="38">
        <f>SUMIF('Rig 104'!$B:$B,Lists!$A$30,'Rig 104'!$E:$E)</f>
        <v>0</v>
      </c>
      <c r="FR7" s="38">
        <f>SUMIF('Rig 104'!$B:$B,Lists!$A$30,'Rig 104'!$F:$F)</f>
        <v>0</v>
      </c>
      <c r="FS7" s="38">
        <f>SUMIF('Rig 104'!$B:$B,Lists!$A$30,'Rig 104'!$G:$G)</f>
        <v>0</v>
      </c>
      <c r="FT7" s="38">
        <f>SUMIF('Rig 104'!$B:$B,Lists!$A$30,'Rig 104'!$H:$H)</f>
        <v>0</v>
      </c>
      <c r="FU7" s="38">
        <f>SUMIF('Rig 104'!$B:$B,Lists!$A$30,'Rig 104'!$I:$I)</f>
        <v>0</v>
      </c>
      <c r="FV7" s="38">
        <f>SUMIF('Rig 104'!$B:$B,Lists!$A$31,'Rig 104'!$C:$C)</f>
        <v>0</v>
      </c>
      <c r="FW7" s="38">
        <f>SUMIF('Rig 104'!$B:$B,Lists!$A$31,'Rig 104'!$E:$E)</f>
        <v>0</v>
      </c>
      <c r="FX7" s="38">
        <f>SUMIF('Rig 104'!$B:$B,Lists!$A$31,'Rig 104'!$F:$F)</f>
        <v>0</v>
      </c>
      <c r="FY7" s="38">
        <f>SUMIF('Rig 104'!$B:$B,Lists!$A$31,'Rig 104'!$G:$G)</f>
        <v>0</v>
      </c>
      <c r="FZ7" s="38">
        <f>SUMIF('Rig 104'!$B:$B,Lists!$A$31,'Rig 104'!$H:$H)</f>
        <v>0</v>
      </c>
      <c r="GA7" s="38">
        <f>SUMIF('Rig 104'!$B:$B,Lists!$A$31,'Rig 104'!$I:$I)</f>
        <v>0</v>
      </c>
      <c r="GB7" s="38">
        <f>SUMIF('Rig 104'!$B:$B,Lists!$A$32,'Rig 104'!$C:$C)</f>
        <v>0</v>
      </c>
      <c r="GC7" s="38">
        <f>SUMIF('Rig 104'!$B:$B,Lists!$A$32,'Rig 104'!$E:$E)</f>
        <v>0</v>
      </c>
      <c r="GD7" s="38">
        <f>SUMIF('Rig 104'!$B:$B,Lists!$A$32,'Rig 104'!$F:$F)</f>
        <v>0</v>
      </c>
      <c r="GE7" s="38">
        <f>SUMIF('Rig 104'!$B:$B,Lists!$A$32,'Rig 104'!$G:$G)</f>
        <v>0</v>
      </c>
      <c r="GF7" s="38">
        <f>SUMIF('Rig 104'!$B:$B,Lists!$A$32,'Rig 104'!$H:$H)</f>
        <v>0</v>
      </c>
      <c r="GG7" s="38">
        <f>SUMIF('Rig 104'!$B:$B,Lists!$A$32,'Rig 104'!$I:$I)</f>
        <v>0</v>
      </c>
      <c r="GH7" s="38">
        <f>SUMIF('Rig 104'!$B:$B,Lists!$A$33,'Rig 104'!$C:$C)</f>
        <v>0</v>
      </c>
      <c r="GI7" s="38">
        <f>SUMIF('Rig 104'!$B:$B,Lists!$A$33,'Rig 104'!$E:$E)</f>
        <v>0</v>
      </c>
      <c r="GJ7" s="38">
        <f>SUMIF('Rig 104'!$B:$B,Lists!$A$33,'Rig 104'!$F:$F)</f>
        <v>0</v>
      </c>
      <c r="GK7" s="38">
        <f>SUMIF('Rig 104'!$B:$B,Lists!$A$33,'Rig 104'!$G:$G)</f>
        <v>0</v>
      </c>
      <c r="GL7" s="38">
        <f>SUMIF('Rig 104'!$B:$B,Lists!$A$33,'Rig 104'!$H:$H)</f>
        <v>0</v>
      </c>
      <c r="GM7" s="38">
        <f>SUMIF('Rig 104'!$B:$B,Lists!$A$33,'Rig 104'!$I:$I)</f>
        <v>0</v>
      </c>
      <c r="GN7" s="38">
        <f>SUMIF('Rig 104'!$B:$B,Lists!$A$34,'Rig 104'!$C:$C)</f>
        <v>0</v>
      </c>
      <c r="GO7" s="38">
        <f>SUMIF('Rig 104'!$B:$B,Lists!$A$34,'Rig 104'!$E:$E)</f>
        <v>0</v>
      </c>
      <c r="GP7" s="38">
        <f>SUMIF('Rig 104'!$B:$B,Lists!$A$34,'Rig 104'!$F:$F)</f>
        <v>0</v>
      </c>
      <c r="GQ7" s="38">
        <f>SUMIF('Rig 104'!$B:$B,Lists!$A$34,'Rig 104'!$G:$G)</f>
        <v>0</v>
      </c>
      <c r="GR7" s="38">
        <f>SUMIF('Rig 104'!$B:$B,Lists!$A$34,'Rig 104'!$H:$H)</f>
        <v>0</v>
      </c>
      <c r="GS7" s="38">
        <f>SUMIF('Rig 104'!$B:$B,Lists!$A$34,'Rig 104'!$I:$I)</f>
        <v>0</v>
      </c>
      <c r="GT7" s="38">
        <f>SUMIF('Rig 104'!$B:$B,Lists!$A$35,'Rig 104'!$C:$C)</f>
        <v>0</v>
      </c>
      <c r="GU7" s="38">
        <f>SUMIF('Rig 104'!$B:$B,Lists!$A$35,'Rig 104'!$E:$E)</f>
        <v>0</v>
      </c>
      <c r="GV7" s="38">
        <f>SUMIF('Rig 104'!$B:$B,Lists!$A$35,'Rig 104'!$F:$F)</f>
        <v>0</v>
      </c>
      <c r="GW7" s="38">
        <f>SUMIF('Rig 104'!$B:$B,Lists!$A$35,'Rig 104'!$G:$G)</f>
        <v>0</v>
      </c>
      <c r="GX7" s="38">
        <f>SUMIF('Rig 104'!$B:$B,Lists!$A$35,'Rig 104'!$H:$H)</f>
        <v>0</v>
      </c>
      <c r="GY7" s="38">
        <f>SUMIF('Rig 104'!$B:$B,Lists!$A$35,'Rig 104'!$I:$I)</f>
        <v>0</v>
      </c>
      <c r="GZ7" s="38">
        <f>SUMIF('Rig 104'!$B:$B,Lists!$A$36,'Rig 104'!$C:$C)</f>
        <v>0</v>
      </c>
      <c r="HA7" s="38">
        <f>SUMIF('Rig 104'!$B:$B,Lists!$A$36,'Rig 104'!$E:$E)</f>
        <v>0</v>
      </c>
      <c r="HB7" s="38">
        <f>SUMIF('Rig 104'!$B:$B,Lists!$A$36,'Rig 104'!$F:$F)</f>
        <v>0</v>
      </c>
      <c r="HC7" s="38">
        <f>SUMIF('Rig 104'!$B:$B,Lists!$A$36,'Rig 104'!$G:$G)</f>
        <v>0</v>
      </c>
      <c r="HD7" s="38">
        <f>SUMIF('Rig 104'!$B:$B,Lists!$A$36,'Rig 104'!$H:$H)</f>
        <v>0</v>
      </c>
      <c r="HE7" s="38">
        <f>SUMIF('Rig 104'!$B:$B,Lists!$A$36,'Rig 104'!$I:$I)</f>
        <v>0</v>
      </c>
      <c r="HF7" s="38">
        <f>SUMIF('Rig 104'!$B:$B,Lists!$A$37,'Rig 104'!$C:$C)</f>
        <v>0</v>
      </c>
      <c r="HG7" s="38">
        <f>SUMIF('Rig 104'!$B:$B,Lists!$A$37,'Rig 104'!$E:$E)</f>
        <v>0</v>
      </c>
      <c r="HH7" s="38">
        <f>SUMIF('Rig 104'!$B:$B,Lists!$A$37,'Rig 104'!$F:$F)</f>
        <v>0</v>
      </c>
      <c r="HI7" s="38">
        <f>SUMIF('Rig 104'!$B:$B,Lists!$A$37,'Rig 104'!$G:$G)</f>
        <v>0</v>
      </c>
      <c r="HJ7" s="38">
        <f>SUMIF('Rig 104'!$B:$B,Lists!$A$37,'Rig 104'!$H:$H)</f>
        <v>0</v>
      </c>
      <c r="HK7" s="38">
        <f>SUMIF('Rig 104'!$B:$B,Lists!$A$37,'Rig 104'!$I:$I)</f>
        <v>0</v>
      </c>
      <c r="HL7" s="38">
        <f>SUMIF('Rig 104'!$B:$B,Lists!$A$38,'Rig 104'!$C:$C)</f>
        <v>0</v>
      </c>
      <c r="HM7" s="38">
        <f>SUMIF('Rig 104'!$B:$B,Lists!$A$38,'Rig 104'!$E:$E)</f>
        <v>0</v>
      </c>
      <c r="HN7" s="38">
        <f>SUMIF('Rig 104'!$B:$B,Lists!$A$38,'Rig 104'!$F:$F)</f>
        <v>0</v>
      </c>
      <c r="HO7" s="38">
        <f>SUMIF('Rig 104'!$B:$B,Lists!$A$38,'Rig 104'!$G:$G)</f>
        <v>0</v>
      </c>
      <c r="HP7" s="38">
        <f>SUMIF('Rig 104'!$B:$B,Lists!$A$38,'Rig 104'!$H:$H)</f>
        <v>0</v>
      </c>
      <c r="HQ7" s="38">
        <f>SUMIF('Rig 104'!$B:$B,Lists!$A$38,'Rig 104'!$I:$I)</f>
        <v>0</v>
      </c>
      <c r="HR7" s="38">
        <f>SUMIF('Rig 104'!$B:$B,Lists!$A$39,'Rig 104'!$C:$C)</f>
        <v>6</v>
      </c>
      <c r="HS7" s="38">
        <f>SUMIF('Rig 104'!$B:$B,Lists!$A$39,'Rig 104'!$E:$E)</f>
        <v>0</v>
      </c>
      <c r="HT7" s="38">
        <f>SUMIF('Rig 104'!$B:$B,Lists!$A$39,'Rig 104'!$F:$F)</f>
        <v>0</v>
      </c>
      <c r="HU7" s="38">
        <f>SUMIF('Rig 104'!$B:$B,Lists!$A$39,'Rig 104'!$G:$G)</f>
        <v>0</v>
      </c>
      <c r="HV7" s="38">
        <f>SUMIF('Rig 104'!$B:$B,Lists!$A$39,'Rig 104'!$H:$H)</f>
        <v>0</v>
      </c>
      <c r="HW7" s="38">
        <f>SUMIF('Rig 104'!$B:$B,Lists!$A$39,'Rig 104'!$I:$I)</f>
        <v>0</v>
      </c>
      <c r="HX7" s="38">
        <f>SUMIF('Rig 104'!$B:$B,Lists!$A$40,'Rig 104'!$C:$C)</f>
        <v>0</v>
      </c>
      <c r="HY7" s="38">
        <f>SUMIF('Rig 104'!$B:$B,Lists!$A$40,'Rig 104'!$E:$E)</f>
        <v>0</v>
      </c>
      <c r="HZ7" s="38">
        <f>SUMIF('Rig 104'!$B:$B,Lists!$A$40,'Rig 104'!$F:$F)</f>
        <v>0</v>
      </c>
      <c r="IA7" s="38">
        <f>SUMIF('Rig 104'!$B:$B,Lists!$A$40,'Rig 104'!$G:$G)</f>
        <v>0</v>
      </c>
      <c r="IB7" s="38">
        <f>SUMIF('Rig 104'!$B:$B,Lists!$A$40,'Rig 104'!$H:$H)</f>
        <v>0</v>
      </c>
      <c r="IC7" s="38">
        <f>SUMIF('Rig 104'!$B:$B,Lists!$A$40,'Rig 104'!$I:$I)</f>
        <v>0</v>
      </c>
      <c r="ID7" s="38">
        <f>SUMIF('Rig 104'!$B:$B,Lists!$A$41,'Rig 104'!$C:$C)</f>
        <v>0</v>
      </c>
      <c r="IE7" s="38">
        <f>SUMIF('Rig 104'!$B:$B,Lists!$A$41,'Rig 104'!$E:$E)</f>
        <v>0</v>
      </c>
      <c r="IF7" s="38">
        <f>SUMIF('Rig 104'!$B:$B,Lists!$A$41,'Rig 104'!$F:$F)</f>
        <v>0</v>
      </c>
      <c r="IG7" s="38">
        <f>SUMIF('Rig 104'!$B:$B,Lists!$A$41,'Rig 104'!$G:$G)</f>
        <v>0</v>
      </c>
      <c r="IH7" s="38">
        <f>SUMIF('Rig 104'!$B:$B,Lists!$A$41,'Rig 104'!$H:$H)</f>
        <v>0</v>
      </c>
      <c r="II7" s="38">
        <f>SUMIF('Rig 104'!$B:$B,Lists!$A$41,'Rig 104'!$I:$I)</f>
        <v>0</v>
      </c>
    </row>
    <row r="8" spans="1:243" ht="19.5" customHeight="1" x14ac:dyDescent="0.3">
      <c r="A8" s="31" t="s">
        <v>79</v>
      </c>
      <c r="B8" s="32">
        <f>'Rig 105'!D2</f>
        <v>46152</v>
      </c>
      <c r="C8" s="33" t="s">
        <v>77</v>
      </c>
      <c r="D8" s="34">
        <f>SUMIF('Rig 105'!$B:$B,Lists!$A$2,'Rig 105'!$C:$C)</f>
        <v>0</v>
      </c>
      <c r="E8" s="34">
        <f>SUMIF('Rig 105'!$B:$B,Lists!$A$2,'Rig 105'!$E:$E)</f>
        <v>0</v>
      </c>
      <c r="F8" s="34">
        <f>SUMIF('Rig 105'!$B:$B,Lists!$A$2,'Rig 105'!$F:$F)</f>
        <v>0</v>
      </c>
      <c r="G8" s="34">
        <f>SUMIF('Rig 105'!$B:$B,Lists!$A$2,'Rig 105'!$G:$G)</f>
        <v>0</v>
      </c>
      <c r="H8" s="34">
        <f>SUMIF('Rig 105'!$B:$B,Lists!$A$2,'Rig 105'!$H:$H)</f>
        <v>0</v>
      </c>
      <c r="I8" s="34">
        <f>SUMIF('Rig 105'!$B:$B,Lists!$A$2,'Rig 105'!$I:$I)</f>
        <v>0</v>
      </c>
      <c r="J8" s="34">
        <f>SUMIF('Rig 105'!$B:$B,Lists!$A$3,'Rig 105'!$C:$C)</f>
        <v>0</v>
      </c>
      <c r="K8" s="34">
        <f>SUMIF('Rig 105'!$B:$B,Lists!$A$3,'Rig 105'!$E:$E)</f>
        <v>0</v>
      </c>
      <c r="L8" s="34">
        <f>SUMIF('Rig 105'!$B:$B,Lists!$A$3,'Rig 105'!$F:$F)</f>
        <v>0</v>
      </c>
      <c r="M8" s="34">
        <f>SUMIF('Rig 105'!$B:$B,Lists!$A$3,'Rig 105'!$G:$G)</f>
        <v>0</v>
      </c>
      <c r="N8" s="34">
        <f>SUMIF('Rig 105'!$B:$B,Lists!$A$3,'Rig 105'!$H:$H)</f>
        <v>0</v>
      </c>
      <c r="O8" s="34">
        <f>SUMIF('Rig 105'!$B:$B,Lists!$A$3,'Rig 105'!$I:$I)</f>
        <v>0</v>
      </c>
      <c r="P8" s="34">
        <f>SUMIF('Rig 105'!$B:$B,Lists!$A$4,'Rig 105'!$C:$C)</f>
        <v>0</v>
      </c>
      <c r="Q8" s="34">
        <f>SUMIF('Rig 105'!$B:$B,Lists!$A$4,'Rig 105'!$E:$E)</f>
        <v>0</v>
      </c>
      <c r="R8" s="34">
        <f>SUMIF('Rig 105'!$B:$B,Lists!$A$4,'Rig 105'!$F:$F)</f>
        <v>0</v>
      </c>
      <c r="S8" s="34">
        <f>SUMIF('Rig 105'!$B:$B,Lists!$A$4,'Rig 105'!$G:$G)</f>
        <v>0</v>
      </c>
      <c r="T8" s="34">
        <f>SUMIF('Rig 105'!$B:$B,Lists!$A$4,'Rig 105'!$H:$H)</f>
        <v>0</v>
      </c>
      <c r="U8" s="34">
        <f>SUMIF('Rig 105'!$B:$B,Lists!$A$4,'Rig 105'!$I:$I)</f>
        <v>0</v>
      </c>
      <c r="V8" s="34">
        <f>SUMIF('Rig 105'!$B:$B,Lists!$A$5,'Rig 105'!$C:$C)</f>
        <v>0</v>
      </c>
      <c r="W8" s="34">
        <f>SUMIF('Rig 105'!$B:$B,Lists!$A$5,'Rig 105'!$E:$E)</f>
        <v>0</v>
      </c>
      <c r="X8" s="34">
        <f>SUMIF('Rig 105'!$B:$B,Lists!$A$5,'Rig 105'!$F:$F)</f>
        <v>0</v>
      </c>
      <c r="Y8" s="34">
        <f>SUMIF('Rig 105'!$B:$B,Lists!$A$5,'Rig 105'!$G:$G)</f>
        <v>0</v>
      </c>
      <c r="Z8" s="34">
        <f>SUMIF('Rig 105'!$B:$B,Lists!$A$5,'Rig 105'!$H:$H)</f>
        <v>0</v>
      </c>
      <c r="AA8" s="34">
        <f>SUMIF('Rig 105'!$B:$B,Lists!$A$5,'Rig 105'!$I:$I)</f>
        <v>0</v>
      </c>
      <c r="AB8" s="34">
        <f>SUMIF('Rig 105'!$B:$B,Lists!$A$6,'Rig 105'!$C:$C)</f>
        <v>0</v>
      </c>
      <c r="AC8" s="34">
        <f>SUMIF('Rig 105'!$B:$B,Lists!$A$6,'Rig 105'!$E:$E)</f>
        <v>0</v>
      </c>
      <c r="AD8" s="34">
        <f>SUMIF('Rig 105'!$B:$B,Lists!$A$6,'Rig 105'!$F:$F)</f>
        <v>0</v>
      </c>
      <c r="AE8" s="34">
        <f>SUMIF('Rig 105'!$B:$B,Lists!$A$6,'Rig 105'!$G:$G)</f>
        <v>0</v>
      </c>
      <c r="AF8" s="34">
        <f>SUMIF('Rig 105'!$B:$B,Lists!$A$6,'Rig 105'!$H:$H)</f>
        <v>0</v>
      </c>
      <c r="AG8" s="34">
        <f>SUMIF('Rig 105'!$B:$B,Lists!$A$6,'Rig 105'!$I:$I)</f>
        <v>0</v>
      </c>
      <c r="AH8" s="34">
        <f>SUMIF('Rig 105'!$B:$B,Lists!$A$7,'Rig 105'!$C:$C)</f>
        <v>222</v>
      </c>
      <c r="AI8" s="34">
        <f>SUMIF('Rig 105'!$B:$B,Lists!$A$7,'Rig 105'!$E:$E)</f>
        <v>125</v>
      </c>
      <c r="AJ8" s="34">
        <f>SUMIF('Rig 105'!$B:$B,Lists!$A$7,'Rig 105'!$F:$F)</f>
        <v>0</v>
      </c>
      <c r="AK8" s="34">
        <f>SUMIF('Rig 105'!$B:$B,Lists!$A$7,'Rig 105'!$G:$G)</f>
        <v>0</v>
      </c>
      <c r="AL8" s="34">
        <f>SUMIF('Rig 105'!$B:$B,Lists!$A$7,'Rig 105'!$H:$H)</f>
        <v>13</v>
      </c>
      <c r="AM8" s="34">
        <f>SUMIF('Rig 105'!$B:$B,Lists!$A$7,'Rig 105'!$I:$I)</f>
        <v>0</v>
      </c>
      <c r="AN8" s="34">
        <f>SUMIF('Rig 105'!$B:$B,Lists!$A$8,'Rig 105'!$C:$C)</f>
        <v>0</v>
      </c>
      <c r="AO8" s="34">
        <f>SUMIF('Rig 105'!$B:$B,Lists!$A$8,'Rig 105'!$E:$E)</f>
        <v>0</v>
      </c>
      <c r="AP8" s="34">
        <f>SUMIF('Rig 105'!$B:$B,Lists!$A$8,'Rig 105'!$F:$F)</f>
        <v>0</v>
      </c>
      <c r="AQ8" s="34">
        <f>SUMIF('Rig 105'!$B:$B,Lists!$A$8,'Rig 105'!$G:$G)</f>
        <v>0</v>
      </c>
      <c r="AR8" s="34">
        <f>SUMIF('Rig 105'!$B:$B,Lists!$A$8,'Rig 105'!$H:$H)</f>
        <v>0</v>
      </c>
      <c r="AS8" s="34">
        <f>SUMIF('Rig 105'!$B:$B,Lists!$A$8,'Rig 105'!$I:$I)</f>
        <v>0</v>
      </c>
      <c r="AT8" s="34">
        <f>SUMIF('Rig 105'!$B:$B,Lists!$A$9,'Rig 105'!$C:$C)</f>
        <v>0</v>
      </c>
      <c r="AU8" s="34">
        <f>SUMIF('Rig 105'!$B:$B,Lists!$A$9,'Rig 105'!$E:$E)</f>
        <v>0</v>
      </c>
      <c r="AV8" s="34">
        <f>SUMIF('Rig 105'!$B:$B,Lists!$A$9,'Rig 105'!$F:$F)</f>
        <v>0</v>
      </c>
      <c r="AW8" s="34">
        <f>SUMIF('Rig 105'!$B:$B,Lists!$A$9,'Rig 105'!$G:$G)</f>
        <v>0</v>
      </c>
      <c r="AX8" s="34">
        <f>SUMIF('Rig 105'!$B:$B,Lists!$A$9,'Rig 105'!$H:$H)</f>
        <v>0</v>
      </c>
      <c r="AY8" s="34">
        <f>SUMIF('Rig 105'!$B:$B,Lists!$A$9,'Rig 105'!$I:$I)</f>
        <v>0</v>
      </c>
      <c r="AZ8" s="34">
        <f>SUMIF('Rig 105'!$B:$B,Lists!$A$10,'Rig 105'!$C:$C)</f>
        <v>0</v>
      </c>
      <c r="BA8" s="34">
        <f>SUMIF('Rig 105'!$B:$B,Lists!$A$10,'Rig 105'!$E:$E)</f>
        <v>0</v>
      </c>
      <c r="BB8" s="34">
        <f>SUMIF('Rig 105'!$B:$B,Lists!$A$10,'Rig 105'!$F:$F)</f>
        <v>0</v>
      </c>
      <c r="BC8" s="34">
        <f>SUMIF('Rig 105'!$B:$B,Lists!$A$10,'Rig 105'!$G:$G)</f>
        <v>0</v>
      </c>
      <c r="BD8" s="34">
        <f>SUMIF('Rig 105'!$B:$B,Lists!$A$10,'Rig 105'!$H:$H)</f>
        <v>0</v>
      </c>
      <c r="BE8" s="34">
        <f>SUMIF('Rig 105'!$B:$B,Lists!$A$10,'Rig 105'!$I:$I)</f>
        <v>0</v>
      </c>
      <c r="BF8" s="34">
        <f>SUMIF('Rig 105'!$B:$B,Lists!$A$11,'Rig 105'!$C:$C)</f>
        <v>0</v>
      </c>
      <c r="BG8" s="34">
        <f>SUMIF('Rig 105'!$B:$B,Lists!$A$11,'Rig 105'!$E:$E)</f>
        <v>0</v>
      </c>
      <c r="BH8" s="34">
        <f>SUMIF('Rig 105'!$B:$B,Lists!$A$11,'Rig 105'!$F:$F)</f>
        <v>0</v>
      </c>
      <c r="BI8" s="34">
        <f>SUMIF('Rig 105'!$B:$B,Lists!$A$11,'Rig 105'!$G:$G)</f>
        <v>0</v>
      </c>
      <c r="BJ8" s="34">
        <f>SUMIF('Rig 105'!$B:$B,Lists!$A$11,'Rig 105'!$H:$H)</f>
        <v>0</v>
      </c>
      <c r="BK8" s="34">
        <f>SUMIF('Rig 105'!$B:$B,Lists!$A$11,'Rig 105'!$I:$I)</f>
        <v>0</v>
      </c>
      <c r="BL8" s="34">
        <f>SUMIF('Rig 105'!$B:$B,Lists!$A$12,'Rig 105'!$C:$C)</f>
        <v>0</v>
      </c>
      <c r="BM8" s="34">
        <f>SUMIF('Rig 105'!$B:$B,Lists!$A$12,'Rig 105'!$E:$E)</f>
        <v>0</v>
      </c>
      <c r="BN8" s="34">
        <f>SUMIF('Rig 105'!$B:$B,Lists!$A$12,'Rig 105'!$F:$F)</f>
        <v>0</v>
      </c>
      <c r="BO8" s="34">
        <f>SUMIF('Rig 105'!$B:$B,Lists!$A$12,'Rig 105'!$G:$G)</f>
        <v>0</v>
      </c>
      <c r="BP8" s="34">
        <f>SUMIF('Rig 105'!$B:$B,Lists!$A$12,'Rig 105'!$H:$H)</f>
        <v>0</v>
      </c>
      <c r="BQ8" s="34">
        <f>SUMIF('Rig 105'!$B:$B,Lists!$A$12,'Rig 105'!$I:$I)</f>
        <v>0</v>
      </c>
      <c r="BR8" s="34">
        <f>SUMIF('Rig 105'!$B:$B,Lists!$A$13,'Rig 105'!$C:$C)</f>
        <v>0</v>
      </c>
      <c r="BS8" s="34">
        <f>SUMIF('Rig 105'!$B:$B,Lists!$A$13,'Rig 105'!$E:$E)</f>
        <v>0</v>
      </c>
      <c r="BT8" s="34">
        <f>SUMIF('Rig 105'!$B:$B,Lists!$A$13,'Rig 105'!$F:$F)</f>
        <v>0</v>
      </c>
      <c r="BU8" s="34">
        <f>SUMIF('Rig 105'!$B:$B,Lists!$A$13,'Rig 105'!$G:$G)</f>
        <v>0</v>
      </c>
      <c r="BV8" s="34">
        <f>SUMIF('Rig 105'!$B:$B,Lists!$A$13,'Rig 105'!$H:$H)</f>
        <v>0</v>
      </c>
      <c r="BW8" s="34">
        <f>SUMIF('Rig 105'!$B:$B,Lists!$A$13,'Rig 105'!$I:$I)</f>
        <v>0</v>
      </c>
      <c r="BX8" s="34">
        <f>SUMIF('Rig 105'!$B:$B,Lists!$A$14,'Rig 105'!$C:$C)</f>
        <v>0</v>
      </c>
      <c r="BY8" s="34">
        <f>SUMIF('Rig 105'!$B:$B,Lists!$A$14,'Rig 105'!$E:$E)</f>
        <v>0</v>
      </c>
      <c r="BZ8" s="34">
        <f>SUMIF('Rig 105'!$B:$B,Lists!$A$14,'Rig 105'!$F:$F)</f>
        <v>0</v>
      </c>
      <c r="CA8" s="34">
        <f>SUMIF('Rig 105'!$B:$B,Lists!$A$14,'Rig 105'!$G:$G)</f>
        <v>0</v>
      </c>
      <c r="CB8" s="34">
        <f>SUMIF('Rig 105'!$B:$B,Lists!$A$14,'Rig 105'!$H:$H)</f>
        <v>0</v>
      </c>
      <c r="CC8" s="34">
        <f>SUMIF('Rig 105'!$B:$B,Lists!$A$14,'Rig 105'!$I:$I)</f>
        <v>0</v>
      </c>
      <c r="CD8" s="34">
        <f>SUMIF('Rig 105'!$B:$B,Lists!$A$15,'Rig 105'!$C:$C)</f>
        <v>0</v>
      </c>
      <c r="CE8" s="34">
        <f>SUMIF('Rig 105'!$B:$B,Lists!$A$15,'Rig 105'!$E:$E)</f>
        <v>0</v>
      </c>
      <c r="CF8" s="34">
        <f>SUMIF('Rig 105'!$B:$B,Lists!$A$15,'Rig 105'!$F:$F)</f>
        <v>0</v>
      </c>
      <c r="CG8" s="34">
        <f>SUMIF('Rig 105'!$B:$B,Lists!$A$15,'Rig 105'!$G:$G)</f>
        <v>0</v>
      </c>
      <c r="CH8" s="34">
        <f>SUMIF('Rig 105'!$B:$B,Lists!$A$15,'Rig 105'!$H:$H)</f>
        <v>0</v>
      </c>
      <c r="CI8" s="34">
        <f>SUMIF('Rig 105'!$B:$B,Lists!$A$15,'Rig 105'!$I:$I)</f>
        <v>0</v>
      </c>
      <c r="CJ8" s="34">
        <f>SUMIF('Rig 105'!$B:$B,Lists!$A$16,'Rig 105'!$C:$C)</f>
        <v>0</v>
      </c>
      <c r="CK8" s="34">
        <f>SUMIF('Rig 105'!$B:$B,Lists!$A$16,'Rig 105'!$E:$E)</f>
        <v>0</v>
      </c>
      <c r="CL8" s="34">
        <f>SUMIF('Rig 105'!$B:$B,Lists!$A$16,'Rig 105'!$F:$F)</f>
        <v>0</v>
      </c>
      <c r="CM8" s="34">
        <f>SUMIF('Rig 105'!$B:$B,Lists!$A$16,'Rig 105'!$G:$G)</f>
        <v>0</v>
      </c>
      <c r="CN8" s="34">
        <f>SUMIF('Rig 105'!$B:$B,Lists!$A$16,'Rig 105'!$H:$H)</f>
        <v>0</v>
      </c>
      <c r="CO8" s="34">
        <f>SUMIF('Rig 105'!$B:$B,Lists!$A$16,'Rig 105'!$I:$I)</f>
        <v>0</v>
      </c>
      <c r="CP8" s="34">
        <f>SUMIF('Rig 105'!$B:$B,Lists!$A$17,'Rig 105'!$C:$C)</f>
        <v>0</v>
      </c>
      <c r="CQ8" s="34">
        <f>SUMIF('Rig 105'!$B:$B,Lists!$A$17,'Rig 105'!$E:$E)</f>
        <v>0</v>
      </c>
      <c r="CR8" s="34">
        <f>SUMIF('Rig 105'!$B:$B,Lists!$A$17,'Rig 105'!$F:$F)</f>
        <v>0</v>
      </c>
      <c r="CS8" s="34">
        <f>SUMIF('Rig 105'!$B:$B,Lists!$A$17,'Rig 105'!$G:$G)</f>
        <v>0</v>
      </c>
      <c r="CT8" s="34">
        <f>SUMIF('Rig 105'!$B:$B,Lists!$A$17,'Rig 105'!$H:$H)</f>
        <v>0</v>
      </c>
      <c r="CU8" s="34">
        <f>SUMIF('Rig 105'!$B:$B,Lists!$A$17,'Rig 105'!$I:$I)</f>
        <v>0</v>
      </c>
      <c r="CV8" s="34">
        <f>SUMIF('Rig 105'!$B:$B,Lists!$A$18,'Rig 105'!$C:$C)</f>
        <v>39</v>
      </c>
      <c r="CW8" s="34">
        <f>SUMIF('Rig 105'!$B:$B,Lists!$A$18,'Rig 105'!$E:$E)</f>
        <v>54</v>
      </c>
      <c r="CX8" s="34">
        <f>SUMIF('Rig 105'!$B:$B,Lists!$A$18,'Rig 105'!$F:$F)</f>
        <v>0</v>
      </c>
      <c r="CY8" s="34">
        <f>SUMIF('Rig 105'!$B:$B,Lists!$A$18,'Rig 105'!$G:$G)</f>
        <v>0</v>
      </c>
      <c r="CZ8" s="34">
        <f>SUMIF('Rig 105'!$B:$B,Lists!$A$18,'Rig 105'!$H:$H)</f>
        <v>0</v>
      </c>
      <c r="DA8" s="34">
        <f>SUMIF('Rig 105'!$B:$B,Lists!$A$18,'Rig 105'!$I:$I)</f>
        <v>0</v>
      </c>
      <c r="DB8" s="34">
        <f>SUMIF('Rig 105'!$B:$B,Lists!$A$19,'Rig 105'!$C:$C)</f>
        <v>0</v>
      </c>
      <c r="DC8" s="34">
        <f>SUMIF('Rig 105'!$B:$B,Lists!$A$19,'Rig 105'!$E:$E)</f>
        <v>0</v>
      </c>
      <c r="DD8" s="34">
        <f>SUMIF('Rig 105'!$B:$B,Lists!$A$19,'Rig 105'!$F:$F)</f>
        <v>0</v>
      </c>
      <c r="DE8" s="34">
        <f>SUMIF('Rig 105'!$B:$B,Lists!$A$19,'Rig 105'!$G:$G)</f>
        <v>0</v>
      </c>
      <c r="DF8" s="34">
        <f>SUMIF('Rig 105'!$B:$B,Lists!$A$19,'Rig 105'!$H:$H)</f>
        <v>0</v>
      </c>
      <c r="DG8" s="34">
        <f>SUMIF('Rig 105'!$B:$B,Lists!$A$19,'Rig 105'!$I:$I)</f>
        <v>0</v>
      </c>
      <c r="DH8" s="34">
        <f>SUMIF('Rig 105'!$B:$B,Lists!$A$20,'Rig 105'!$C:$C)</f>
        <v>0</v>
      </c>
      <c r="DI8" s="34">
        <f>SUMIF('Rig 105'!$B:$B,Lists!$A$20,'Rig 105'!$E:$E)</f>
        <v>0</v>
      </c>
      <c r="DJ8" s="34">
        <f>SUMIF('Rig 105'!$B:$B,Lists!$A$20,'Rig 105'!$F:$F)</f>
        <v>0</v>
      </c>
      <c r="DK8" s="34">
        <f>SUMIF('Rig 105'!$B:$B,Lists!$A$20,'Rig 105'!$G:$G)</f>
        <v>0</v>
      </c>
      <c r="DL8" s="34">
        <f>SUMIF('Rig 105'!$B:$B,Lists!$A$20,'Rig 105'!$H:$H)</f>
        <v>0</v>
      </c>
      <c r="DM8" s="34">
        <f>SUMIF('Rig 105'!$B:$B,Lists!$A$20,'Rig 105'!$I:$I)</f>
        <v>0</v>
      </c>
      <c r="DN8" s="34">
        <f>SUMIF('Rig 105'!$B:$B,Lists!$A$21,'Rig 105'!$C:$C)</f>
        <v>0</v>
      </c>
      <c r="DO8" s="34">
        <f>SUMIF('Rig 105'!$B:$B,Lists!$A$21,'Rig 105'!$E:$E)</f>
        <v>0</v>
      </c>
      <c r="DP8" s="34">
        <f>SUMIF('Rig 105'!$B:$B,Lists!$A$21,'Rig 105'!$F:$F)</f>
        <v>0</v>
      </c>
      <c r="DQ8" s="34">
        <f>SUMIF('Rig 105'!$B:$B,Lists!$A$21,'Rig 105'!$G:$G)</f>
        <v>0</v>
      </c>
      <c r="DR8" s="34">
        <f>SUMIF('Rig 105'!$B:$B,Lists!$A$21,'Rig 105'!$H:$H)</f>
        <v>0</v>
      </c>
      <c r="DS8" s="34">
        <f>SUMIF('Rig 105'!$B:$B,Lists!$A$21,'Rig 105'!$I:$I)</f>
        <v>0</v>
      </c>
      <c r="DT8" s="34">
        <f>SUMIF('Rig 105'!$B:$B,Lists!$A$22,'Rig 105'!$C:$C)</f>
        <v>0</v>
      </c>
      <c r="DU8" s="34">
        <f>SUMIF('Rig 105'!$B:$B,Lists!$A$22,'Rig 105'!$E:$E)</f>
        <v>0</v>
      </c>
      <c r="DV8" s="34">
        <f>SUMIF('Rig 105'!$B:$B,Lists!$A$22,'Rig 105'!$F:$F)</f>
        <v>0</v>
      </c>
      <c r="DW8" s="34">
        <f>SUMIF('Rig 105'!$B:$B,Lists!$A$22,'Rig 105'!$G:$G)</f>
        <v>0</v>
      </c>
      <c r="DX8" s="34">
        <f>SUMIF('Rig 105'!$B:$B,Lists!$A$22,'Rig 105'!$H:$H)</f>
        <v>0</v>
      </c>
      <c r="DY8" s="34">
        <f>SUMIF('Rig 105'!$B:$B,Lists!$A$22,'Rig 105'!$I:$I)</f>
        <v>0</v>
      </c>
      <c r="DZ8" s="34">
        <f>SUMIF('Rig 105'!$B:$B,Lists!$A$23,'Rig 105'!$C:$C)</f>
        <v>10</v>
      </c>
      <c r="EA8" s="34">
        <f>SUMIF('Rig 105'!$B:$B,Lists!$A$23,'Rig 105'!$E:$E)</f>
        <v>6</v>
      </c>
      <c r="EB8" s="34">
        <f>SUMIF('Rig 105'!$B:$B,Lists!$A$23,'Rig 105'!$F:$F)</f>
        <v>0</v>
      </c>
      <c r="EC8" s="34">
        <f>SUMIF('Rig 105'!$B:$B,Lists!$A$23,'Rig 105'!$G:$G)</f>
        <v>0</v>
      </c>
      <c r="ED8" s="34">
        <f>SUMIF('Rig 105'!$B:$B,Lists!$A$23,'Rig 105'!$H:$H)</f>
        <v>0</v>
      </c>
      <c r="EE8" s="34">
        <f>SUMIF('Rig 105'!$B:$B,Lists!$A$23,'Rig 105'!$I:$I)</f>
        <v>0</v>
      </c>
      <c r="EF8" s="34">
        <f>SUMIF('Rig 105'!$B:$B,Lists!$A$24,'Rig 105'!$C:$C)</f>
        <v>0</v>
      </c>
      <c r="EG8" s="34">
        <f>SUMIF('Rig 105'!$B:$B,Lists!$A$24,'Rig 105'!$E:$E)</f>
        <v>0</v>
      </c>
      <c r="EH8" s="34">
        <f>SUMIF('Rig 105'!$B:$B,Lists!$A$24,'Rig 105'!$F:$F)</f>
        <v>0</v>
      </c>
      <c r="EI8" s="34">
        <f>SUMIF('Rig 105'!$B:$B,Lists!$A$24,'Rig 105'!$G:$G)</f>
        <v>0</v>
      </c>
      <c r="EJ8" s="34">
        <f>SUMIF('Rig 105'!$B:$B,Lists!$A$24,'Rig 105'!$H:$H)</f>
        <v>0</v>
      </c>
      <c r="EK8" s="34">
        <f>SUMIF('Rig 105'!$B:$B,Lists!$A$24,'Rig 105'!$I:$I)</f>
        <v>0</v>
      </c>
      <c r="EL8" s="34">
        <f>SUMIF('Rig 105'!$B:$B,Lists!$A$25,'Rig 105'!$C:$C)</f>
        <v>0</v>
      </c>
      <c r="EM8" s="34">
        <f>SUMIF('Rig 105'!$B:$B,Lists!$A$25,'Rig 105'!$E:$E)</f>
        <v>0</v>
      </c>
      <c r="EN8" s="34">
        <f>SUMIF('Rig 105'!$B:$B,Lists!$A$25,'Rig 105'!$F:$F)</f>
        <v>0</v>
      </c>
      <c r="EO8" s="34">
        <f>SUMIF('Rig 105'!$B:$B,Lists!$A$25,'Rig 105'!$G:$G)</f>
        <v>0</v>
      </c>
      <c r="EP8" s="34">
        <f>SUMIF('Rig 105'!$B:$B,Lists!$A$25,'Rig 105'!$H:$H)</f>
        <v>0</v>
      </c>
      <c r="EQ8" s="34">
        <f>SUMIF('Rig 105'!$B:$B,Lists!$A$25,'Rig 105'!$I:$I)</f>
        <v>0</v>
      </c>
      <c r="ER8" s="34">
        <f>SUMIF('Rig 105'!$B:$B,Lists!$A$26,'Rig 105'!$C:$C)</f>
        <v>0</v>
      </c>
      <c r="ES8" s="34">
        <f>SUMIF('Rig 105'!$B:$B,Lists!$A$26,'Rig 105'!$E:$E)</f>
        <v>0</v>
      </c>
      <c r="ET8" s="34">
        <f>SUMIF('Rig 105'!$B:$B,Lists!$A$26,'Rig 105'!$F:$F)</f>
        <v>0</v>
      </c>
      <c r="EU8" s="34">
        <f>SUMIF('Rig 105'!$B:$B,Lists!$A$26,'Rig 105'!$G:$G)</f>
        <v>0</v>
      </c>
      <c r="EV8" s="34">
        <f>SUMIF('Rig 105'!$B:$B,Lists!$A$26,'Rig 105'!$H:$H)</f>
        <v>0</v>
      </c>
      <c r="EW8" s="34">
        <f>SUMIF('Rig 105'!$B:$B,Lists!$A$26,'Rig 105'!$I:$I)</f>
        <v>0</v>
      </c>
      <c r="EX8" s="34">
        <f>SUMIF('Rig 105'!$B:$B,Lists!$A$27,'Rig 105'!$C:$C)</f>
        <v>9</v>
      </c>
      <c r="EY8" s="34">
        <f>SUMIF('Rig 105'!$B:$B,Lists!$A$27,'Rig 105'!$E:$E)</f>
        <v>7</v>
      </c>
      <c r="EZ8" s="34">
        <f>SUMIF('Rig 105'!$B:$B,Lists!$A$27,'Rig 105'!$F:$F)</f>
        <v>0</v>
      </c>
      <c r="FA8" s="34">
        <f>SUMIF('Rig 105'!$B:$B,Lists!$A$27,'Rig 105'!$G:$G)</f>
        <v>0</v>
      </c>
      <c r="FB8" s="34">
        <f>SUMIF('Rig 105'!$B:$B,Lists!$A$27,'Rig 105'!$H:$H)</f>
        <v>0</v>
      </c>
      <c r="FC8" s="34">
        <f>SUMIF('Rig 105'!$B:$B,Lists!$A$27,'Rig 105'!$I:$I)</f>
        <v>0</v>
      </c>
      <c r="FD8" s="34">
        <f>SUMIF('Rig 105'!$B:$B,Lists!$A$28,'Rig 105'!$C:$C)</f>
        <v>19</v>
      </c>
      <c r="FE8" s="34">
        <f>SUMIF('Rig 105'!$B:$B,Lists!$A$28,'Rig 105'!$E:$E)</f>
        <v>7</v>
      </c>
      <c r="FF8" s="34">
        <f>SUMIF('Rig 105'!$B:$B,Lists!$A$28,'Rig 105'!$F:$F)</f>
        <v>0</v>
      </c>
      <c r="FG8" s="34">
        <f>SUMIF('Rig 105'!$B:$B,Lists!$A$28,'Rig 105'!$G:$G)</f>
        <v>0</v>
      </c>
      <c r="FH8" s="34">
        <f>SUMIF('Rig 105'!$B:$B,Lists!$A$28,'Rig 105'!$H:$H)</f>
        <v>0</v>
      </c>
      <c r="FI8" s="34">
        <f>SUMIF('Rig 105'!$B:$B,Lists!$A$28,'Rig 105'!$I:$I)</f>
        <v>0</v>
      </c>
      <c r="FJ8" s="34">
        <f>SUMIF('Rig 105'!$B:$B,Lists!$A$29,'Rig 105'!$C:$C)</f>
        <v>20</v>
      </c>
      <c r="FK8" s="34">
        <f>SUMIF('Rig 105'!$B:$B,Lists!$A$29,'Rig 105'!$E:$E)</f>
        <v>8</v>
      </c>
      <c r="FL8" s="34">
        <f>SUMIF('Rig 105'!$B:$B,Lists!$A$29,'Rig 105'!$F:$F)</f>
        <v>0</v>
      </c>
      <c r="FM8" s="34">
        <f>SUMIF('Rig 105'!$B:$B,Lists!$A$29,'Rig 105'!$G:$G)</f>
        <v>0</v>
      </c>
      <c r="FN8" s="34">
        <f>SUMIF('Rig 105'!$B:$B,Lists!$A$29,'Rig 105'!$H:$H)</f>
        <v>0</v>
      </c>
      <c r="FO8" s="34">
        <f>SUMIF('Rig 105'!$B:$B,Lists!$A$29,'Rig 105'!$I:$I)</f>
        <v>0</v>
      </c>
      <c r="FP8" s="34">
        <f>SUMIF('Rig 105'!$B:$B,Lists!$A$30,'Rig 105'!$C:$C)</f>
        <v>0</v>
      </c>
      <c r="FQ8" s="34">
        <f>SUMIF('Rig 105'!$B:$B,Lists!$A$30,'Rig 105'!$E:$E)</f>
        <v>0</v>
      </c>
      <c r="FR8" s="34">
        <f>SUMIF('Rig 105'!$B:$B,Lists!$A$30,'Rig 105'!$F:$F)</f>
        <v>0</v>
      </c>
      <c r="FS8" s="34">
        <f>SUMIF('Rig 105'!$B:$B,Lists!$A$30,'Rig 105'!$G:$G)</f>
        <v>0</v>
      </c>
      <c r="FT8" s="34">
        <f>SUMIF('Rig 105'!$B:$B,Lists!$A$30,'Rig 105'!$H:$H)</f>
        <v>0</v>
      </c>
      <c r="FU8" s="34">
        <f>SUMIF('Rig 105'!$B:$B,Lists!$A$30,'Rig 105'!$I:$I)</f>
        <v>0</v>
      </c>
      <c r="FV8" s="34">
        <f>SUMIF('Rig 105'!$B:$B,Lists!$A$31,'Rig 105'!$C:$C)</f>
        <v>0</v>
      </c>
      <c r="FW8" s="34">
        <f>SUMIF('Rig 105'!$B:$B,Lists!$A$31,'Rig 105'!$E:$E)</f>
        <v>0</v>
      </c>
      <c r="FX8" s="34">
        <f>SUMIF('Rig 105'!$B:$B,Lists!$A$31,'Rig 105'!$F:$F)</f>
        <v>0</v>
      </c>
      <c r="FY8" s="34">
        <f>SUMIF('Rig 105'!$B:$B,Lists!$A$31,'Rig 105'!$G:$G)</f>
        <v>0</v>
      </c>
      <c r="FZ8" s="34">
        <f>SUMIF('Rig 105'!$B:$B,Lists!$A$31,'Rig 105'!$H:$H)</f>
        <v>0</v>
      </c>
      <c r="GA8" s="34">
        <f>SUMIF('Rig 105'!$B:$B,Lists!$A$31,'Rig 105'!$I:$I)</f>
        <v>0</v>
      </c>
      <c r="GB8" s="34">
        <f>SUMIF('Rig 105'!$B:$B,Lists!$A$32,'Rig 105'!$C:$C)</f>
        <v>0</v>
      </c>
      <c r="GC8" s="34">
        <f>SUMIF('Rig 105'!$B:$B,Lists!$A$32,'Rig 105'!$E:$E)</f>
        <v>0</v>
      </c>
      <c r="GD8" s="34">
        <f>SUMIF('Rig 105'!$B:$B,Lists!$A$32,'Rig 105'!$F:$F)</f>
        <v>0</v>
      </c>
      <c r="GE8" s="34">
        <f>SUMIF('Rig 105'!$B:$B,Lists!$A$32,'Rig 105'!$G:$G)</f>
        <v>0</v>
      </c>
      <c r="GF8" s="34">
        <f>SUMIF('Rig 105'!$B:$B,Lists!$A$32,'Rig 105'!$H:$H)</f>
        <v>0</v>
      </c>
      <c r="GG8" s="34">
        <f>SUMIF('Rig 105'!$B:$B,Lists!$A$32,'Rig 105'!$I:$I)</f>
        <v>0</v>
      </c>
      <c r="GH8" s="34">
        <f>SUMIF('Rig 105'!$B:$B,Lists!$A$33,'Rig 105'!$C:$C)</f>
        <v>0</v>
      </c>
      <c r="GI8" s="34">
        <f>SUMIF('Rig 105'!$B:$B,Lists!$A$33,'Rig 105'!$E:$E)</f>
        <v>0</v>
      </c>
      <c r="GJ8" s="34">
        <f>SUMIF('Rig 105'!$B:$B,Lists!$A$33,'Rig 105'!$F:$F)</f>
        <v>0</v>
      </c>
      <c r="GK8" s="34">
        <f>SUMIF('Rig 105'!$B:$B,Lists!$A$33,'Rig 105'!$G:$G)</f>
        <v>0</v>
      </c>
      <c r="GL8" s="34">
        <f>SUMIF('Rig 105'!$B:$B,Lists!$A$33,'Rig 105'!$H:$H)</f>
        <v>0</v>
      </c>
      <c r="GM8" s="34">
        <f>SUMIF('Rig 105'!$B:$B,Lists!$A$33,'Rig 105'!$I:$I)</f>
        <v>0</v>
      </c>
      <c r="GN8" s="34">
        <f>SUMIF('Rig 105'!$B:$B,Lists!$A$34,'Rig 105'!$C:$C)</f>
        <v>0</v>
      </c>
      <c r="GO8" s="34">
        <f>SUMIF('Rig 105'!$B:$B,Lists!$A$34,'Rig 105'!$E:$E)</f>
        <v>0</v>
      </c>
      <c r="GP8" s="34">
        <f>SUMIF('Rig 105'!$B:$B,Lists!$A$34,'Rig 105'!$F:$F)</f>
        <v>0</v>
      </c>
      <c r="GQ8" s="34">
        <f>SUMIF('Rig 105'!$B:$B,Lists!$A$34,'Rig 105'!$G:$G)</f>
        <v>0</v>
      </c>
      <c r="GR8" s="34">
        <f>SUMIF('Rig 105'!$B:$B,Lists!$A$34,'Rig 105'!$H:$H)</f>
        <v>0</v>
      </c>
      <c r="GS8" s="34">
        <f>SUMIF('Rig 105'!$B:$B,Lists!$A$34,'Rig 105'!$I:$I)</f>
        <v>0</v>
      </c>
      <c r="GT8" s="34">
        <f>SUMIF('Rig 105'!$B:$B,Lists!$A$35,'Rig 105'!$C:$C)</f>
        <v>0</v>
      </c>
      <c r="GU8" s="34">
        <f>SUMIF('Rig 105'!$B:$B,Lists!$A$35,'Rig 105'!$E:$E)</f>
        <v>0</v>
      </c>
      <c r="GV8" s="34">
        <f>SUMIF('Rig 105'!$B:$B,Lists!$A$35,'Rig 105'!$F:$F)</f>
        <v>0</v>
      </c>
      <c r="GW8" s="34">
        <f>SUMIF('Rig 105'!$B:$B,Lists!$A$35,'Rig 105'!$G:$G)</f>
        <v>0</v>
      </c>
      <c r="GX8" s="34">
        <f>SUMIF('Rig 105'!$B:$B,Lists!$A$35,'Rig 105'!$H:$H)</f>
        <v>0</v>
      </c>
      <c r="GY8" s="34">
        <f>SUMIF('Rig 105'!$B:$B,Lists!$A$35,'Rig 105'!$I:$I)</f>
        <v>0</v>
      </c>
      <c r="GZ8" s="34">
        <f>SUMIF('Rig 105'!$B:$B,Lists!$A$36,'Rig 105'!$C:$C)</f>
        <v>0</v>
      </c>
      <c r="HA8" s="34">
        <f>SUMIF('Rig 105'!$B:$B,Lists!$A$36,'Rig 105'!$E:$E)</f>
        <v>0</v>
      </c>
      <c r="HB8" s="34">
        <f>SUMIF('Rig 105'!$B:$B,Lists!$A$36,'Rig 105'!$F:$F)</f>
        <v>0</v>
      </c>
      <c r="HC8" s="34">
        <f>SUMIF('Rig 105'!$B:$B,Lists!$A$36,'Rig 105'!$G:$G)</f>
        <v>0</v>
      </c>
      <c r="HD8" s="34">
        <f>SUMIF('Rig 105'!$B:$B,Lists!$A$36,'Rig 105'!$H:$H)</f>
        <v>0</v>
      </c>
      <c r="HE8" s="34">
        <f>SUMIF('Rig 105'!$B:$B,Lists!$A$36,'Rig 105'!$I:$I)</f>
        <v>0</v>
      </c>
      <c r="HF8" s="34">
        <f>SUMIF('Rig 105'!$B:$B,Lists!$A$37,'Rig 105'!$C:$C)</f>
        <v>0</v>
      </c>
      <c r="HG8" s="34">
        <f>SUMIF('Rig 105'!$B:$B,Lists!$A$37,'Rig 105'!$E:$E)</f>
        <v>0</v>
      </c>
      <c r="HH8" s="34">
        <f>SUMIF('Rig 105'!$B:$B,Lists!$A$37,'Rig 105'!$F:$F)</f>
        <v>0</v>
      </c>
      <c r="HI8" s="34">
        <f>SUMIF('Rig 105'!$B:$B,Lists!$A$37,'Rig 105'!$G:$G)</f>
        <v>0</v>
      </c>
      <c r="HJ8" s="34">
        <f>SUMIF('Rig 105'!$B:$B,Lists!$A$37,'Rig 105'!$H:$H)</f>
        <v>0</v>
      </c>
      <c r="HK8" s="34">
        <f>SUMIF('Rig 105'!$B:$B,Lists!$A$37,'Rig 105'!$I:$I)</f>
        <v>0</v>
      </c>
      <c r="HL8" s="34">
        <f>SUMIF('Rig 105'!$B:$B,Lists!$A$38,'Rig 105'!$C:$C)</f>
        <v>0</v>
      </c>
      <c r="HM8" s="34">
        <f>SUMIF('Rig 105'!$B:$B,Lists!$A$38,'Rig 105'!$E:$E)</f>
        <v>0</v>
      </c>
      <c r="HN8" s="34">
        <f>SUMIF('Rig 105'!$B:$B,Lists!$A$38,'Rig 105'!$F:$F)</f>
        <v>0</v>
      </c>
      <c r="HO8" s="34">
        <f>SUMIF('Rig 105'!$B:$B,Lists!$A$38,'Rig 105'!$G:$G)</f>
        <v>0</v>
      </c>
      <c r="HP8" s="34">
        <f>SUMIF('Rig 105'!$B:$B,Lists!$A$38,'Rig 105'!$H:$H)</f>
        <v>0</v>
      </c>
      <c r="HQ8" s="34">
        <f>SUMIF('Rig 105'!$B:$B,Lists!$A$38,'Rig 105'!$I:$I)</f>
        <v>0</v>
      </c>
      <c r="HR8" s="34">
        <f>SUMIF('Rig 105'!$B:$B,Lists!$A$39,'Rig 105'!$C:$C)</f>
        <v>0</v>
      </c>
      <c r="HS8" s="34">
        <f>SUMIF('Rig 105'!$B:$B,Lists!$A$39,'Rig 105'!$E:$E)</f>
        <v>0</v>
      </c>
      <c r="HT8" s="34">
        <f>SUMIF('Rig 105'!$B:$B,Lists!$A$39,'Rig 105'!$F:$F)</f>
        <v>0</v>
      </c>
      <c r="HU8" s="34">
        <f>SUMIF('Rig 105'!$B:$B,Lists!$A$39,'Rig 105'!$G:$G)</f>
        <v>0</v>
      </c>
      <c r="HV8" s="34">
        <f>SUMIF('Rig 105'!$B:$B,Lists!$A$39,'Rig 105'!$H:$H)</f>
        <v>0</v>
      </c>
      <c r="HW8" s="34">
        <f>SUMIF('Rig 105'!$B:$B,Lists!$A$39,'Rig 105'!$I:$I)</f>
        <v>0</v>
      </c>
      <c r="HX8" s="34">
        <f>SUMIF('Rig 105'!$B:$B,Lists!$A$40,'Rig 105'!$C:$C)</f>
        <v>0</v>
      </c>
      <c r="HY8" s="34">
        <f>SUMIF('Rig 105'!$B:$B,Lists!$A$40,'Rig 105'!$E:$E)</f>
        <v>0</v>
      </c>
      <c r="HZ8" s="34">
        <f>SUMIF('Rig 105'!$B:$B,Lists!$A$40,'Rig 105'!$F:$F)</f>
        <v>0</v>
      </c>
      <c r="IA8" s="34">
        <f>SUMIF('Rig 105'!$B:$B,Lists!$A$40,'Rig 105'!$G:$G)</f>
        <v>0</v>
      </c>
      <c r="IB8" s="34">
        <f>SUMIF('Rig 105'!$B:$B,Lists!$A$40,'Rig 105'!$H:$H)</f>
        <v>0</v>
      </c>
      <c r="IC8" s="34">
        <f>SUMIF('Rig 105'!$B:$B,Lists!$A$40,'Rig 105'!$I:$I)</f>
        <v>0</v>
      </c>
      <c r="ID8" s="34">
        <f>SUMIF('Rig 105'!$B:$B,Lists!$A$41,'Rig 105'!$C:$C)</f>
        <v>0</v>
      </c>
      <c r="IE8" s="34">
        <f>SUMIF('Rig 105'!$B:$B,Lists!$A$41,'Rig 105'!$E:$E)</f>
        <v>0</v>
      </c>
      <c r="IF8" s="34">
        <f>SUMIF('Rig 105'!$B:$B,Lists!$A$41,'Rig 105'!$F:$F)</f>
        <v>0</v>
      </c>
      <c r="IG8" s="34">
        <f>SUMIF('Rig 105'!$B:$B,Lists!$A$41,'Rig 105'!$G:$G)</f>
        <v>0</v>
      </c>
      <c r="IH8" s="34">
        <f>SUMIF('Rig 105'!$B:$B,Lists!$A$41,'Rig 105'!$H:$H)</f>
        <v>0</v>
      </c>
      <c r="II8" s="34">
        <f>SUMIF('Rig 105'!$B:$B,Lists!$A$41,'Rig 105'!$I:$I)</f>
        <v>0</v>
      </c>
    </row>
    <row r="9" spans="1:243" ht="19.5" customHeight="1" x14ac:dyDescent="0.3">
      <c r="A9" s="35" t="s">
        <v>80</v>
      </c>
      <c r="B9" s="36">
        <f>'Rig 106'!D2</f>
        <v>46164</v>
      </c>
      <c r="C9" s="37" t="s">
        <v>77</v>
      </c>
      <c r="D9" s="38">
        <v>0</v>
      </c>
      <c r="E9" s="38">
        <f>SUMIF('Rig 106'!$B:$B,Lists!$A$2,'Rig 106'!$E:$E)</f>
        <v>0</v>
      </c>
      <c r="F9" s="38">
        <f>SUMIF('Rig 106'!$B:$B,Lists!$A$2,'Rig 106'!$F:$F)</f>
        <v>0</v>
      </c>
      <c r="G9" s="38">
        <f>SUMIF('Rig 106'!$B:$B,Lists!$A$2,'Rig 106'!$G:$G)</f>
        <v>0</v>
      </c>
      <c r="H9" s="38">
        <f>SUMIF('Rig 106'!$B:$B,Lists!$A$2,'Rig 106'!$H:$H)</f>
        <v>0</v>
      </c>
      <c r="I9" s="38">
        <f>SUMIF('Rig 106'!$B:$B,Lists!$A$2,'Rig 106'!$I:$I)</f>
        <v>0</v>
      </c>
      <c r="J9" s="38">
        <f>SUMIF('Rig 106'!$B:$B,Lists!$A$3,'Rig 106'!$C:$C)</f>
        <v>0</v>
      </c>
      <c r="K9" s="38">
        <f>SUMIF('Rig 106'!$B:$B,Lists!$A$3,'Rig 106'!$E:$E)</f>
        <v>0</v>
      </c>
      <c r="L9" s="38">
        <f>SUMIF('Rig 106'!$B:$B,Lists!$A$3,'Rig 106'!$F:$F)</f>
        <v>0</v>
      </c>
      <c r="M9" s="38">
        <f>SUMIF('Rig 106'!$B:$B,Lists!$A$3,'Rig 106'!$G:$G)</f>
        <v>0</v>
      </c>
      <c r="N9" s="38">
        <f>SUMIF('Rig 106'!$B:$B,Lists!$A$3,'Rig 106'!$H:$H)</f>
        <v>0</v>
      </c>
      <c r="O9" s="38">
        <f>SUMIF('Rig 106'!$B:$B,Lists!$A$3,'Rig 106'!$I:$I)</f>
        <v>0</v>
      </c>
      <c r="P9" s="38">
        <f>SUMIF('Rig 106'!$B:$B,Lists!$A$4,'Rig 106'!$C:$C)</f>
        <v>0</v>
      </c>
      <c r="Q9" s="38">
        <f>SUMIF('Rig 106'!$B:$B,Lists!$A$4,'Rig 106'!$E:$E)</f>
        <v>0</v>
      </c>
      <c r="R9" s="38">
        <f>SUMIF('Rig 106'!$B:$B,Lists!$A$4,'Rig 106'!$F:$F)</f>
        <v>0</v>
      </c>
      <c r="S9" s="38">
        <f>SUMIF('Rig 106'!$B:$B,Lists!$A$4,'Rig 106'!$G:$G)</f>
        <v>0</v>
      </c>
      <c r="T9" s="38">
        <f>SUMIF('Rig 106'!$B:$B,Lists!$A$4,'Rig 106'!$H:$H)</f>
        <v>0</v>
      </c>
      <c r="U9" s="38">
        <f>SUMIF('Rig 106'!$B:$B,Lists!$A$4,'Rig 106'!$I:$I)</f>
        <v>0</v>
      </c>
      <c r="V9" s="38">
        <f>SUMIF('Rig 106'!$B:$B,Lists!$A$5,'Rig 106'!$C:$C)</f>
        <v>0</v>
      </c>
      <c r="W9" s="38">
        <f>SUMIF('Rig 106'!$B:$B,Lists!$A$5,'Rig 106'!$E:$E)</f>
        <v>0</v>
      </c>
      <c r="X9" s="38">
        <f>SUMIF('Rig 106'!$B:$B,Lists!$A$5,'Rig 106'!$F:$F)</f>
        <v>0</v>
      </c>
      <c r="Y9" s="38">
        <f>SUMIF('Rig 106'!$B:$B,Lists!$A$5,'Rig 106'!$G:$G)</f>
        <v>0</v>
      </c>
      <c r="Z9" s="38">
        <f>SUMIF('Rig 106'!$B:$B,Lists!$A$5,'Rig 106'!$H:$H)</f>
        <v>0</v>
      </c>
      <c r="AA9" s="38">
        <f>SUMIF('Rig 106'!$B:$B,Lists!$A$5,'Rig 106'!$I:$I)</f>
        <v>0</v>
      </c>
      <c r="AB9" s="38">
        <f>SUMIF('Rig 106'!$B:$B,Lists!$A$6,'Rig 106'!$C:$C)</f>
        <v>0</v>
      </c>
      <c r="AC9" s="38">
        <f>SUMIF('Rig 106'!$B:$B,Lists!$A$6,'Rig 106'!$E:$E)</f>
        <v>0</v>
      </c>
      <c r="AD9" s="38">
        <f>SUMIF('Rig 106'!$B:$B,Lists!$A$6,'Rig 106'!$F:$F)</f>
        <v>0</v>
      </c>
      <c r="AE9" s="38">
        <f>SUMIF('Rig 106'!$B:$B,Lists!$A$6,'Rig 106'!$G:$G)</f>
        <v>0</v>
      </c>
      <c r="AF9" s="38">
        <f>SUMIF('Rig 106'!$B:$B,Lists!$A$6,'Rig 106'!$H:$H)</f>
        <v>0</v>
      </c>
      <c r="AG9" s="38">
        <f>SUMIF('Rig 106'!$B:$B,Lists!$A$6,'Rig 106'!$I:$I)</f>
        <v>0</v>
      </c>
      <c r="AH9" s="38">
        <f>SUMIF('Rig 106'!$B:$B,Lists!$A$7,'Rig 106'!$C:$C)</f>
        <v>208</v>
      </c>
      <c r="AI9" s="38">
        <f>SUMIF('Rig 106'!$B:$B,Lists!$A$7,'Rig 106'!$E:$E)</f>
        <v>229</v>
      </c>
      <c r="AJ9" s="38">
        <f>SUMIF('Rig 106'!$B:$B,Lists!$A$7,'Rig 106'!$F:$F)</f>
        <v>0</v>
      </c>
      <c r="AK9" s="38">
        <f>SUMIF('Rig 106'!$B:$B,Lists!$A$7,'Rig 106'!$G:$G)</f>
        <v>0</v>
      </c>
      <c r="AL9" s="38">
        <f>SUMIF('Rig 106'!$B:$B,Lists!$A$7,'Rig 106'!$H:$H)</f>
        <v>24</v>
      </c>
      <c r="AM9" s="38">
        <f>SUMIF('Rig 106'!$B:$B,Lists!$A$7,'Rig 106'!$I:$I)</f>
        <v>0</v>
      </c>
      <c r="AN9" s="38">
        <f>SUMIF('Rig 106'!$B:$B,Lists!$A$8,'Rig 106'!$C:$C)</f>
        <v>0</v>
      </c>
      <c r="AO9" s="38">
        <f>SUMIF('Rig 106'!$B:$B,Lists!$A$8,'Rig 106'!$E:$E)</f>
        <v>0</v>
      </c>
      <c r="AP9" s="38">
        <f>SUMIF('Rig 106'!$B:$B,Lists!$A$8,'Rig 106'!$F:$F)</f>
        <v>0</v>
      </c>
      <c r="AQ9" s="38">
        <f>SUMIF('Rig 106'!$B:$B,Lists!$A$8,'Rig 106'!$G:$G)</f>
        <v>0</v>
      </c>
      <c r="AR9" s="38">
        <f>SUMIF('Rig 106'!$B:$B,Lists!$A$8,'Rig 106'!$H:$H)</f>
        <v>0</v>
      </c>
      <c r="AS9" s="38">
        <f>SUMIF('Rig 106'!$B:$B,Lists!$A$8,'Rig 106'!$I:$I)</f>
        <v>0</v>
      </c>
      <c r="AT9" s="38">
        <f>SUMIF('Rig 106'!$B:$B,Lists!$A$9,'Rig 106'!$C:$C)</f>
        <v>0</v>
      </c>
      <c r="AU9" s="38">
        <f>SUMIF('Rig 106'!$B:$B,Lists!$A$9,'Rig 106'!$E:$E)</f>
        <v>0</v>
      </c>
      <c r="AV9" s="38">
        <f>SUMIF('Rig 106'!$B:$B,Lists!$A$9,'Rig 106'!$F:$F)</f>
        <v>0</v>
      </c>
      <c r="AW9" s="38">
        <f>SUMIF('Rig 106'!$B:$B,Lists!$A$9,'Rig 106'!$G:$G)</f>
        <v>0</v>
      </c>
      <c r="AX9" s="38">
        <f>SUMIF('Rig 106'!$B:$B,Lists!$A$9,'Rig 106'!$H:$H)</f>
        <v>0</v>
      </c>
      <c r="AY9" s="38">
        <f>SUMIF('Rig 106'!$B:$B,Lists!$A$9,'Rig 106'!$I:$I)</f>
        <v>0</v>
      </c>
      <c r="AZ9" s="38">
        <f>SUMIF('Rig 106'!$B:$B,Lists!$A$10,'Rig 106'!$C:$C)</f>
        <v>0</v>
      </c>
      <c r="BA9" s="38">
        <f>SUMIF('Rig 106'!$B:$B,Lists!$A$10,'Rig 106'!$E:$E)</f>
        <v>0</v>
      </c>
      <c r="BB9" s="38">
        <f>SUMIF('Rig 106'!$B:$B,Lists!$A$10,'Rig 106'!$F:$F)</f>
        <v>0</v>
      </c>
      <c r="BC9" s="38">
        <f>SUMIF('Rig 106'!$B:$B,Lists!$A$10,'Rig 106'!$G:$G)</f>
        <v>0</v>
      </c>
      <c r="BD9" s="38">
        <f>SUMIF('Rig 106'!$B:$B,Lists!$A$10,'Rig 106'!$H:$H)</f>
        <v>0</v>
      </c>
      <c r="BE9" s="38">
        <f>SUMIF('Rig 106'!$B:$B,Lists!$A$10,'Rig 106'!$I:$I)</f>
        <v>0</v>
      </c>
      <c r="BF9" s="38">
        <f>SUMIF('Rig 106'!$B:$B,Lists!$A$11,'Rig 106'!$C:$C)</f>
        <v>208</v>
      </c>
      <c r="BG9" s="38">
        <f>SUMIF('Rig 106'!$B:$B,Lists!$A$11,'Rig 106'!$E:$E)</f>
        <v>229</v>
      </c>
      <c r="BH9" s="38">
        <f>SUMIF('Rig 106'!$B:$B,Lists!$A$11,'Rig 106'!$F:$F)</f>
        <v>0</v>
      </c>
      <c r="BI9" s="38">
        <f>SUMIF('Rig 106'!$B:$B,Lists!$A$11,'Rig 106'!$G:$G)</f>
        <v>0</v>
      </c>
      <c r="BJ9" s="38">
        <f>SUMIF('Rig 106'!$B:$B,Lists!$A$11,'Rig 106'!$H:$H)</f>
        <v>0</v>
      </c>
      <c r="BK9" s="38">
        <f>SUMIF('Rig 106'!$B:$B,Lists!$A$11,'Rig 106'!$I:$I)</f>
        <v>0</v>
      </c>
      <c r="BL9" s="38">
        <f>SUMIF('Rig 106'!$B:$B,Lists!$A$12,'Rig 106'!$C:$C)</f>
        <v>0</v>
      </c>
      <c r="BM9" s="38">
        <f>SUMIF('Rig 106'!$B:$B,Lists!$A$12,'Rig 106'!$E:$E)</f>
        <v>0</v>
      </c>
      <c r="BN9" s="38">
        <f>SUMIF('Rig 106'!$B:$B,Lists!$A$12,'Rig 106'!$F:$F)</f>
        <v>0</v>
      </c>
      <c r="BO9" s="38">
        <f>SUMIF('Rig 106'!$B:$B,Lists!$A$12,'Rig 106'!$G:$G)</f>
        <v>0</v>
      </c>
      <c r="BP9" s="38">
        <f>SUMIF('Rig 106'!$B:$B,Lists!$A$12,'Rig 106'!$H:$H)</f>
        <v>0</v>
      </c>
      <c r="BQ9" s="38">
        <f>SUMIF('Rig 106'!$B:$B,Lists!$A$12,'Rig 106'!$I:$I)</f>
        <v>0</v>
      </c>
      <c r="BR9" s="38">
        <f>SUMIF('Rig 106'!$B:$B,Lists!$A$13,'Rig 106'!$C:$C)</f>
        <v>0</v>
      </c>
      <c r="BS9" s="38">
        <f>SUMIF('Rig 106'!$B:$B,Lists!$A$13,'Rig 106'!$E:$E)</f>
        <v>0</v>
      </c>
      <c r="BT9" s="38">
        <f>SUMIF('Rig 106'!$B:$B,Lists!$A$13,'Rig 106'!$F:$F)</f>
        <v>0</v>
      </c>
      <c r="BU9" s="38">
        <f>SUMIF('Rig 106'!$B:$B,Lists!$A$13,'Rig 106'!$G:$G)</f>
        <v>0</v>
      </c>
      <c r="BV9" s="38">
        <f>SUMIF('Rig 106'!$B:$B,Lists!$A$13,'Rig 106'!$H:$H)</f>
        <v>0</v>
      </c>
      <c r="BW9" s="38">
        <f>SUMIF('Rig 106'!$B:$B,Lists!$A$13,'Rig 106'!$I:$I)</f>
        <v>0</v>
      </c>
      <c r="BX9" s="38">
        <f>SUMIF('Rig 106'!$B:$B,Lists!$A$14,'Rig 106'!$C:$C)</f>
        <v>0</v>
      </c>
      <c r="BY9" s="38">
        <f>SUMIF('Rig 106'!$B:$B,Lists!$A$14,'Rig 106'!$E:$E)</f>
        <v>0</v>
      </c>
      <c r="BZ9" s="38">
        <f>SUMIF('Rig 106'!$B:$B,Lists!$A$14,'Rig 106'!$F:$F)</f>
        <v>0</v>
      </c>
      <c r="CA9" s="38">
        <f>SUMIF('Rig 106'!$B:$B,Lists!$A$14,'Rig 106'!$G:$G)</f>
        <v>0</v>
      </c>
      <c r="CB9" s="38">
        <f>SUMIF('Rig 106'!$B:$B,Lists!$A$14,'Rig 106'!$H:$H)</f>
        <v>0</v>
      </c>
      <c r="CC9" s="38">
        <f>SUMIF('Rig 106'!$B:$B,Lists!$A$14,'Rig 106'!$I:$I)</f>
        <v>0</v>
      </c>
      <c r="CD9" s="38">
        <f>SUMIF('Rig 106'!$B:$B,Lists!$A$15,'Rig 106'!$C:$C)</f>
        <v>0</v>
      </c>
      <c r="CE9" s="38">
        <f>SUMIF('Rig 106'!$B:$B,Lists!$A$15,'Rig 106'!$E:$E)</f>
        <v>0</v>
      </c>
      <c r="CF9" s="38">
        <f>SUMIF('Rig 106'!$B:$B,Lists!$A$15,'Rig 106'!$F:$F)</f>
        <v>0</v>
      </c>
      <c r="CG9" s="38">
        <f>SUMIF('Rig 106'!$B:$B,Lists!$A$15,'Rig 106'!$G:$G)</f>
        <v>0</v>
      </c>
      <c r="CH9" s="38">
        <f>SUMIF('Rig 106'!$B:$B,Lists!$A$15,'Rig 106'!$H:$H)</f>
        <v>0</v>
      </c>
      <c r="CI9" s="38">
        <f>SUMIF('Rig 106'!$B:$B,Lists!$A$15,'Rig 106'!$I:$I)</f>
        <v>0</v>
      </c>
      <c r="CJ9" s="38">
        <f>SUMIF('Rig 106'!$B:$B,Lists!$A$16,'Rig 106'!$C:$C)</f>
        <v>0</v>
      </c>
      <c r="CK9" s="38">
        <f>SUMIF('Rig 106'!$B:$B,Lists!$A$16,'Rig 106'!$E:$E)</f>
        <v>0</v>
      </c>
      <c r="CL9" s="38">
        <f>SUMIF('Rig 106'!$B:$B,Lists!$A$16,'Rig 106'!$F:$F)</f>
        <v>0</v>
      </c>
      <c r="CM9" s="38">
        <f>SUMIF('Rig 106'!$B:$B,Lists!$A$16,'Rig 106'!$G:$G)</f>
        <v>0</v>
      </c>
      <c r="CN9" s="38">
        <f>SUMIF('Rig 106'!$B:$B,Lists!$A$16,'Rig 106'!$H:$H)</f>
        <v>0</v>
      </c>
      <c r="CO9" s="38">
        <f>SUMIF('Rig 106'!$B:$B,Lists!$A$16,'Rig 106'!$I:$I)</f>
        <v>0</v>
      </c>
      <c r="CP9" s="38">
        <f>SUMIF('Rig 106'!$B:$B,Lists!$A$17,'Rig 106'!$C:$C)</f>
        <v>0</v>
      </c>
      <c r="CQ9" s="38">
        <f>SUMIF('Rig 106'!$B:$B,Lists!$A$17,'Rig 106'!$E:$E)</f>
        <v>0</v>
      </c>
      <c r="CR9" s="38">
        <f>SUMIF('Rig 106'!$B:$B,Lists!$A$17,'Rig 106'!$F:$F)</f>
        <v>0</v>
      </c>
      <c r="CS9" s="38">
        <f>SUMIF('Rig 106'!$B:$B,Lists!$A$17,'Rig 106'!$G:$G)</f>
        <v>0</v>
      </c>
      <c r="CT9" s="38">
        <f>SUMIF('Rig 106'!$B:$B,Lists!$A$17,'Rig 106'!$H:$H)</f>
        <v>0</v>
      </c>
      <c r="CU9" s="38">
        <f>SUMIF('Rig 106'!$B:$B,Lists!$A$17,'Rig 106'!$I:$I)</f>
        <v>0</v>
      </c>
      <c r="CV9" s="38">
        <f>SUMIF('Rig 106'!$B:$B,Lists!$A$18,'Rig 106'!$C:$C)</f>
        <v>42</v>
      </c>
      <c r="CW9" s="38">
        <f>SUMIF('Rig 106'!$B:$B,Lists!$A$18,'Rig 106'!$E:$E)</f>
        <v>34</v>
      </c>
      <c r="CX9" s="38">
        <f>SUMIF('Rig 106'!$B:$B,Lists!$A$18,'Rig 106'!$F:$F)</f>
        <v>0</v>
      </c>
      <c r="CY9" s="38">
        <f>SUMIF('Rig 106'!$B:$B,Lists!$A$18,'Rig 106'!$G:$G)</f>
        <v>0</v>
      </c>
      <c r="CZ9" s="38">
        <f>SUMIF('Rig 106'!$B:$B,Lists!$A$18,'Rig 106'!$H:$H)</f>
        <v>2</v>
      </c>
      <c r="DA9" s="38">
        <f>SUMIF('Rig 106'!$B:$B,Lists!$A$18,'Rig 106'!$I:$I)</f>
        <v>0</v>
      </c>
      <c r="DB9" s="38">
        <f>SUMIF('Rig 106'!$B:$B,Lists!$A$19,'Rig 106'!$C:$C)</f>
        <v>42</v>
      </c>
      <c r="DC9" s="38">
        <f>SUMIF('Rig 106'!$B:$B,Lists!$A$19,'Rig 106'!$E:$E)</f>
        <v>36</v>
      </c>
      <c r="DD9" s="38">
        <f>SUMIF('Rig 106'!$B:$B,Lists!$A$19,'Rig 106'!$F:$F)</f>
        <v>0</v>
      </c>
      <c r="DE9" s="38">
        <f>SUMIF('Rig 106'!$B:$B,Lists!$A$19,'Rig 106'!$G:$G)</f>
        <v>0</v>
      </c>
      <c r="DF9" s="38">
        <f>SUMIF('Rig 106'!$B:$B,Lists!$A$19,'Rig 106'!$H:$H)</f>
        <v>0</v>
      </c>
      <c r="DG9" s="38">
        <f>SUMIF('Rig 106'!$B:$B,Lists!$A$19,'Rig 106'!$I:$I)</f>
        <v>0</v>
      </c>
      <c r="DH9" s="38">
        <f>SUMIF('Rig 106'!$B:$B,Lists!$A$20,'Rig 106'!$C:$C)</f>
        <v>0</v>
      </c>
      <c r="DI9" s="38">
        <f>SUMIF('Rig 106'!$B:$B,Lists!$A$20,'Rig 106'!$E:$E)</f>
        <v>0</v>
      </c>
      <c r="DJ9" s="38">
        <f>SUMIF('Rig 106'!$B:$B,Lists!$A$20,'Rig 106'!$F:$F)</f>
        <v>0</v>
      </c>
      <c r="DK9" s="38">
        <f>SUMIF('Rig 106'!$B:$B,Lists!$A$20,'Rig 106'!$G:$G)</f>
        <v>0</v>
      </c>
      <c r="DL9" s="38">
        <f>SUMIF('Rig 106'!$B:$B,Lists!$A$20,'Rig 106'!$H:$H)</f>
        <v>0</v>
      </c>
      <c r="DM9" s="38">
        <f>SUMIF('Rig 106'!$B:$B,Lists!$A$20,'Rig 106'!$I:$I)</f>
        <v>0</v>
      </c>
      <c r="DN9" s="38">
        <f>SUMIF('Rig 106'!$B:$B,Lists!$A$21,'Rig 106'!$C:$C)</f>
        <v>0</v>
      </c>
      <c r="DO9" s="38">
        <f>SUMIF('Rig 106'!$B:$B,Lists!$A$21,'Rig 106'!$E:$E)</f>
        <v>0</v>
      </c>
      <c r="DP9" s="38">
        <f>SUMIF('Rig 106'!$B:$B,Lists!$A$21,'Rig 106'!$F:$F)</f>
        <v>0</v>
      </c>
      <c r="DQ9" s="38">
        <f>SUMIF('Rig 106'!$B:$B,Lists!$A$21,'Rig 106'!$G:$G)</f>
        <v>0</v>
      </c>
      <c r="DR9" s="38">
        <f>SUMIF('Rig 106'!$B:$B,Lists!$A$21,'Rig 106'!$H:$H)</f>
        <v>0</v>
      </c>
      <c r="DS9" s="38">
        <f>SUMIF('Rig 106'!$B:$B,Lists!$A$21,'Rig 106'!$I:$I)</f>
        <v>0</v>
      </c>
      <c r="DT9" s="38">
        <f>SUMIF('Rig 106'!$B:$B,Lists!$A$22,'Rig 106'!$C:$C)</f>
        <v>0</v>
      </c>
      <c r="DU9" s="38">
        <f>SUMIF('Rig 106'!$B:$B,Lists!$A$22,'Rig 106'!$E:$E)</f>
        <v>0</v>
      </c>
      <c r="DV9" s="38">
        <f>SUMIF('Rig 106'!$B:$B,Lists!$A$22,'Rig 106'!$F:$F)</f>
        <v>0</v>
      </c>
      <c r="DW9" s="38">
        <f>SUMIF('Rig 106'!$B:$B,Lists!$A$22,'Rig 106'!$G:$G)</f>
        <v>0</v>
      </c>
      <c r="DX9" s="38">
        <f>SUMIF('Rig 106'!$B:$B,Lists!$A$22,'Rig 106'!$H:$H)</f>
        <v>0</v>
      </c>
      <c r="DY9" s="38">
        <f>SUMIF('Rig 106'!$B:$B,Lists!$A$22,'Rig 106'!$I:$I)</f>
        <v>0</v>
      </c>
      <c r="DZ9" s="38">
        <f>SUMIF('Rig 106'!$B:$B,Lists!$A$23,'Rig 106'!$C:$C)</f>
        <v>0</v>
      </c>
      <c r="EA9" s="38">
        <f>SUMIF('Rig 106'!$B:$B,Lists!$A$23,'Rig 106'!$E:$E)</f>
        <v>0</v>
      </c>
      <c r="EB9" s="38">
        <f>SUMIF('Rig 106'!$B:$B,Lists!$A$23,'Rig 106'!$F:$F)</f>
        <v>0</v>
      </c>
      <c r="EC9" s="38">
        <f>SUMIF('Rig 106'!$B:$B,Lists!$A$23,'Rig 106'!$G:$G)</f>
        <v>0</v>
      </c>
      <c r="ED9" s="38">
        <f>SUMIF('Rig 106'!$B:$B,Lists!$A$23,'Rig 106'!$H:$H)</f>
        <v>0</v>
      </c>
      <c r="EE9" s="38">
        <f>SUMIF('Rig 106'!$B:$B,Lists!$A$23,'Rig 106'!$I:$I)</f>
        <v>0</v>
      </c>
      <c r="EF9" s="38">
        <f>SUMIF('Rig 106'!$B:$B,Lists!$A$24,'Rig 106'!$C:$C)</f>
        <v>30</v>
      </c>
      <c r="EG9" s="38">
        <f>SUMIF('Rig 106'!$B:$B,Lists!$A$24,'Rig 106'!$E:$E)</f>
        <v>11</v>
      </c>
      <c r="EH9" s="38">
        <f>SUMIF('Rig 106'!$B:$B,Lists!$A$24,'Rig 106'!$F:$F)</f>
        <v>0</v>
      </c>
      <c r="EI9" s="38">
        <f>SUMIF('Rig 106'!$B:$B,Lists!$A$24,'Rig 106'!$G:$G)</f>
        <v>0</v>
      </c>
      <c r="EJ9" s="38">
        <f>SUMIF('Rig 106'!$B:$B,Lists!$A$24,'Rig 106'!$H:$H)</f>
        <v>0</v>
      </c>
      <c r="EK9" s="38">
        <f>SUMIF('Rig 106'!$B:$B,Lists!$A$24,'Rig 106'!$I:$I)</f>
        <v>0</v>
      </c>
      <c r="EL9" s="38">
        <f>SUMIF('Rig 106'!$B:$B,Lists!$A$25,'Rig 106'!$C:$C)</f>
        <v>30</v>
      </c>
      <c r="EM9" s="38">
        <f>SUMIF('Rig 106'!$B:$B,Lists!$A$25,'Rig 106'!$E:$E)</f>
        <v>24</v>
      </c>
      <c r="EN9" s="38">
        <f>SUMIF('Rig 106'!$B:$B,Lists!$A$25,'Rig 106'!$F:$F)</f>
        <v>0</v>
      </c>
      <c r="EO9" s="38">
        <f>SUMIF('Rig 106'!$B:$B,Lists!$A$25,'Rig 106'!$G:$G)</f>
        <v>0</v>
      </c>
      <c r="EP9" s="38">
        <f>SUMIF('Rig 106'!$B:$B,Lists!$A$25,'Rig 106'!$H:$H)</f>
        <v>0</v>
      </c>
      <c r="EQ9" s="38">
        <f>SUMIF('Rig 106'!$B:$B,Lists!$A$25,'Rig 106'!$I:$I)</f>
        <v>0</v>
      </c>
      <c r="ER9" s="38">
        <f>SUMIF('Rig 106'!$B:$B,Lists!$A$26,'Rig 106'!$C:$C)</f>
        <v>0</v>
      </c>
      <c r="ES9" s="38">
        <f>SUMIF('Rig 106'!$B:$B,Lists!$A$26,'Rig 106'!$E:$E)</f>
        <v>0</v>
      </c>
      <c r="ET9" s="38">
        <f>SUMIF('Rig 106'!$B:$B,Lists!$A$26,'Rig 106'!$F:$F)</f>
        <v>0</v>
      </c>
      <c r="EU9" s="38">
        <f>SUMIF('Rig 106'!$B:$B,Lists!$A$26,'Rig 106'!$G:$G)</f>
        <v>0</v>
      </c>
      <c r="EV9" s="38">
        <f>SUMIF('Rig 106'!$B:$B,Lists!$A$26,'Rig 106'!$H:$H)</f>
        <v>0</v>
      </c>
      <c r="EW9" s="38">
        <f>SUMIF('Rig 106'!$B:$B,Lists!$A$26,'Rig 106'!$I:$I)</f>
        <v>0</v>
      </c>
      <c r="EX9" s="38">
        <f>SUMIF('Rig 106'!$B:$B,Lists!$A$27,'Rig 106'!$C:$C)</f>
        <v>0</v>
      </c>
      <c r="EY9" s="38">
        <f>SUMIF('Rig 106'!$B:$B,Lists!$A$27,'Rig 106'!$E:$E)</f>
        <v>0</v>
      </c>
      <c r="EZ9" s="38">
        <f>SUMIF('Rig 106'!$B:$B,Lists!$A$27,'Rig 106'!$F:$F)</f>
        <v>0</v>
      </c>
      <c r="FA9" s="38">
        <f>SUMIF('Rig 106'!$B:$B,Lists!$A$27,'Rig 106'!$G:$G)</f>
        <v>0</v>
      </c>
      <c r="FB9" s="38">
        <f>SUMIF('Rig 106'!$B:$B,Lists!$A$27,'Rig 106'!$H:$H)</f>
        <v>0</v>
      </c>
      <c r="FC9" s="38">
        <f>SUMIF('Rig 106'!$B:$B,Lists!$A$27,'Rig 106'!$I:$I)</f>
        <v>0</v>
      </c>
      <c r="FD9" s="38">
        <f>SUMIF('Rig 106'!$B:$B,Lists!$A$28,'Rig 106'!$C:$C)</f>
        <v>0</v>
      </c>
      <c r="FE9" s="38">
        <f>SUMIF('Rig 106'!$B:$B,Lists!$A$28,'Rig 106'!$E:$E)</f>
        <v>0</v>
      </c>
      <c r="FF9" s="38">
        <f>SUMIF('Rig 106'!$B:$B,Lists!$A$28,'Rig 106'!$F:$F)</f>
        <v>0</v>
      </c>
      <c r="FG9" s="38">
        <f>SUMIF('Rig 106'!$B:$B,Lists!$A$28,'Rig 106'!$G:$G)</f>
        <v>0</v>
      </c>
      <c r="FH9" s="38">
        <f>SUMIF('Rig 106'!$B:$B,Lists!$A$28,'Rig 106'!$H:$H)</f>
        <v>0</v>
      </c>
      <c r="FI9" s="38">
        <f>SUMIF('Rig 106'!$B:$B,Lists!$A$28,'Rig 106'!$I:$I)</f>
        <v>0</v>
      </c>
      <c r="FJ9" s="38">
        <f>SUMIF('Rig 106'!$B:$B,Lists!$A$29,'Rig 106'!$C:$C)</f>
        <v>20</v>
      </c>
      <c r="FK9" s="38">
        <f>SUMIF('Rig 106'!$B:$B,Lists!$A$29,'Rig 106'!$E:$E)</f>
        <v>18</v>
      </c>
      <c r="FL9" s="38">
        <f>SUMIF('Rig 106'!$B:$B,Lists!$A$29,'Rig 106'!$F:$F)</f>
        <v>0</v>
      </c>
      <c r="FM9" s="38">
        <f>SUMIF('Rig 106'!$B:$B,Lists!$A$29,'Rig 106'!$G:$G)</f>
        <v>0</v>
      </c>
      <c r="FN9" s="38">
        <f>SUMIF('Rig 106'!$B:$B,Lists!$A$29,'Rig 106'!$H:$H)</f>
        <v>0</v>
      </c>
      <c r="FO9" s="38">
        <f>SUMIF('Rig 106'!$B:$B,Lists!$A$29,'Rig 106'!$I:$I)</f>
        <v>0</v>
      </c>
      <c r="FP9" s="38">
        <f>SUMIF('Rig 106'!$B:$B,Lists!$A$30,'Rig 106'!$C:$C)</f>
        <v>0</v>
      </c>
      <c r="FQ9" s="38">
        <f>SUMIF('Rig 106'!$B:$B,Lists!$A$30,'Rig 106'!$E:$E)</f>
        <v>0</v>
      </c>
      <c r="FR9" s="38">
        <f>SUMIF('Rig 106'!$B:$B,Lists!$A$30,'Rig 106'!$F:$F)</f>
        <v>0</v>
      </c>
      <c r="FS9" s="38">
        <f>SUMIF('Rig 106'!$B:$B,Lists!$A$30,'Rig 106'!$G:$G)</f>
        <v>0</v>
      </c>
      <c r="FT9" s="38">
        <f>SUMIF('Rig 106'!$B:$B,Lists!$A$30,'Rig 106'!$H:$H)</f>
        <v>0</v>
      </c>
      <c r="FU9" s="38">
        <f>SUMIF('Rig 106'!$B:$B,Lists!$A$30,'Rig 106'!$I:$I)</f>
        <v>0</v>
      </c>
      <c r="FV9" s="38">
        <f>SUMIF('Rig 106'!$B:$B,Lists!$A$31,'Rig 106'!$C:$C)</f>
        <v>0</v>
      </c>
      <c r="FW9" s="38">
        <f>SUMIF('Rig 106'!$B:$B,Lists!$A$31,'Rig 106'!$E:$E)</f>
        <v>0</v>
      </c>
      <c r="FX9" s="38">
        <f>SUMIF('Rig 106'!$B:$B,Lists!$A$31,'Rig 106'!$F:$F)</f>
        <v>0</v>
      </c>
      <c r="FY9" s="38">
        <f>SUMIF('Rig 106'!$B:$B,Lists!$A$31,'Rig 106'!$G:$G)</f>
        <v>0</v>
      </c>
      <c r="FZ9" s="38">
        <f>SUMIF('Rig 106'!$B:$B,Lists!$A$31,'Rig 106'!$H:$H)</f>
        <v>0</v>
      </c>
      <c r="GA9" s="38">
        <f>SUMIF('Rig 106'!$B:$B,Lists!$A$31,'Rig 106'!$I:$I)</f>
        <v>0</v>
      </c>
      <c r="GB9" s="38">
        <f>SUMIF('Rig 106'!$B:$B,Lists!$A$32,'Rig 106'!$C:$C)</f>
        <v>0</v>
      </c>
      <c r="GC9" s="38">
        <f>SUMIF('Rig 106'!$B:$B,Lists!$A$32,'Rig 106'!$E:$E)</f>
        <v>0</v>
      </c>
      <c r="GD9" s="38">
        <f>SUMIF('Rig 106'!$B:$B,Lists!$A$32,'Rig 106'!$F:$F)</f>
        <v>0</v>
      </c>
      <c r="GE9" s="38">
        <f>SUMIF('Rig 106'!$B:$B,Lists!$A$32,'Rig 106'!$G:$G)</f>
        <v>0</v>
      </c>
      <c r="GF9" s="38">
        <f>SUMIF('Rig 106'!$B:$B,Lists!$A$32,'Rig 106'!$H:$H)</f>
        <v>0</v>
      </c>
      <c r="GG9" s="38">
        <f>SUMIF('Rig 106'!$B:$B,Lists!$A$32,'Rig 106'!$I:$I)</f>
        <v>0</v>
      </c>
      <c r="GH9" s="38">
        <f>SUMIF('Rig 106'!$B:$B,Lists!$A$33,'Rig 106'!$C:$C)</f>
        <v>0</v>
      </c>
      <c r="GI9" s="38">
        <f>SUMIF('Rig 106'!$B:$B,Lists!$A$33,'Rig 106'!$E:$E)</f>
        <v>0</v>
      </c>
      <c r="GJ9" s="38">
        <f>SUMIF('Rig 106'!$B:$B,Lists!$A$33,'Rig 106'!$F:$F)</f>
        <v>0</v>
      </c>
      <c r="GK9" s="38">
        <f>SUMIF('Rig 106'!$B:$B,Lists!$A$33,'Rig 106'!$G:$G)</f>
        <v>0</v>
      </c>
      <c r="GL9" s="38">
        <f>SUMIF('Rig 106'!$B:$B,Lists!$A$33,'Rig 106'!$H:$H)</f>
        <v>0</v>
      </c>
      <c r="GM9" s="38">
        <f>SUMIF('Rig 106'!$B:$B,Lists!$A$33,'Rig 106'!$I:$I)</f>
        <v>0</v>
      </c>
      <c r="GN9" s="38">
        <f>SUMIF('Rig 106'!$B:$B,Lists!$A$34,'Rig 106'!$C:$C)</f>
        <v>0</v>
      </c>
      <c r="GO9" s="38">
        <f>SUMIF('Rig 106'!$B:$B,Lists!$A$34,'Rig 106'!$E:$E)</f>
        <v>0</v>
      </c>
      <c r="GP9" s="38">
        <f>SUMIF('Rig 106'!$B:$B,Lists!$A$34,'Rig 106'!$F:$F)</f>
        <v>0</v>
      </c>
      <c r="GQ9" s="38">
        <f>SUMIF('Rig 106'!$B:$B,Lists!$A$34,'Rig 106'!$G:$G)</f>
        <v>0</v>
      </c>
      <c r="GR9" s="38">
        <f>SUMIF('Rig 106'!$B:$B,Lists!$A$34,'Rig 106'!$H:$H)</f>
        <v>0</v>
      </c>
      <c r="GS9" s="38">
        <f>SUMIF('Rig 106'!$B:$B,Lists!$A$34,'Rig 106'!$I:$I)</f>
        <v>0</v>
      </c>
      <c r="GT9" s="38">
        <f>SUMIF('Rig 106'!$B:$B,Lists!$A$35,'Rig 106'!$C:$C)</f>
        <v>0</v>
      </c>
      <c r="GU9" s="38">
        <f>SUMIF('Rig 106'!$B:$B,Lists!$A$35,'Rig 106'!$E:$E)</f>
        <v>2</v>
      </c>
      <c r="GV9" s="38">
        <f>SUMIF('Rig 106'!$B:$B,Lists!$A$35,'Rig 106'!$F:$F)</f>
        <v>0</v>
      </c>
      <c r="GW9" s="38">
        <f>SUMIF('Rig 106'!$B:$B,Lists!$A$35,'Rig 106'!$G:$G)</f>
        <v>0</v>
      </c>
      <c r="GX9" s="38">
        <f>SUMIF('Rig 106'!$B:$B,Lists!$A$35,'Rig 106'!$H:$H)</f>
        <v>0</v>
      </c>
      <c r="GY9" s="38">
        <f>SUMIF('Rig 106'!$B:$B,Lists!$A$35,'Rig 106'!$I:$I)</f>
        <v>0</v>
      </c>
      <c r="GZ9" s="38">
        <f>SUMIF('Rig 106'!$B:$B,Lists!$A$36,'Rig 106'!$C:$C)</f>
        <v>0</v>
      </c>
      <c r="HA9" s="38">
        <f>SUMIF('Rig 106'!$B:$B,Lists!$A$36,'Rig 106'!$E:$E)</f>
        <v>0</v>
      </c>
      <c r="HB9" s="38">
        <f>SUMIF('Rig 106'!$B:$B,Lists!$A$36,'Rig 106'!$F:$F)</f>
        <v>0</v>
      </c>
      <c r="HC9" s="38">
        <f>SUMIF('Rig 106'!$B:$B,Lists!$A$36,'Rig 106'!$G:$G)</f>
        <v>0</v>
      </c>
      <c r="HD9" s="38">
        <f>SUMIF('Rig 106'!$B:$B,Lists!$A$36,'Rig 106'!$H:$H)</f>
        <v>0</v>
      </c>
      <c r="HE9" s="38">
        <f>SUMIF('Rig 106'!$B:$B,Lists!$A$36,'Rig 106'!$I:$I)</f>
        <v>0</v>
      </c>
      <c r="HF9" s="38">
        <f>SUMIF('Rig 106'!$B:$B,Lists!$A$37,'Rig 106'!$C:$C)</f>
        <v>0</v>
      </c>
      <c r="HG9" s="38">
        <f>SUMIF('Rig 106'!$B:$B,Lists!$A$37,'Rig 106'!$E:$E)</f>
        <v>4</v>
      </c>
      <c r="HH9" s="38">
        <f>SUMIF('Rig 106'!$B:$B,Lists!$A$37,'Rig 106'!$F:$F)</f>
        <v>0</v>
      </c>
      <c r="HI9" s="38">
        <f>SUMIF('Rig 106'!$B:$B,Lists!$A$37,'Rig 106'!$G:$G)</f>
        <v>0</v>
      </c>
      <c r="HJ9" s="38">
        <f>SUMIF('Rig 106'!$B:$B,Lists!$A$37,'Rig 106'!$H:$H)</f>
        <v>0</v>
      </c>
      <c r="HK9" s="38">
        <f>SUMIF('Rig 106'!$B:$B,Lists!$A$37,'Rig 106'!$I:$I)</f>
        <v>0</v>
      </c>
      <c r="HL9" s="38">
        <f>SUMIF('Rig 106'!$B:$B,Lists!$A$38,'Rig 106'!$C:$C)</f>
        <v>0</v>
      </c>
      <c r="HM9" s="38">
        <f>SUMIF('Rig 106'!$B:$B,Lists!$A$38,'Rig 106'!$E:$E)</f>
        <v>0</v>
      </c>
      <c r="HN9" s="38">
        <f>SUMIF('Rig 106'!$B:$B,Lists!$A$38,'Rig 106'!$F:$F)</f>
        <v>0</v>
      </c>
      <c r="HO9" s="38">
        <f>SUMIF('Rig 106'!$B:$B,Lists!$A$38,'Rig 106'!$G:$G)</f>
        <v>0</v>
      </c>
      <c r="HP9" s="38">
        <f>SUMIF('Rig 106'!$B:$B,Lists!$A$38,'Rig 106'!$H:$H)</f>
        <v>0</v>
      </c>
      <c r="HQ9" s="38">
        <f>SUMIF('Rig 106'!$B:$B,Lists!$A$38,'Rig 106'!$I:$I)</f>
        <v>0</v>
      </c>
      <c r="HR9" s="38">
        <f>SUMIF('Rig 106'!$B:$B,Lists!$A$39,'Rig 106'!$C:$C)</f>
        <v>6</v>
      </c>
      <c r="HS9" s="38">
        <f>SUMIF('Rig 106'!$B:$B,Lists!$A$39,'Rig 106'!$E:$E)</f>
        <v>8</v>
      </c>
      <c r="HT9" s="38">
        <f>SUMIF('Rig 106'!$B:$B,Lists!$A$39,'Rig 106'!$F:$F)</f>
        <v>0</v>
      </c>
      <c r="HU9" s="38">
        <f>SUMIF('Rig 106'!$B:$B,Lists!$A$39,'Rig 106'!$G:$G)</f>
        <v>0</v>
      </c>
      <c r="HV9" s="38">
        <f>SUMIF('Rig 106'!$B:$B,Lists!$A$39,'Rig 106'!$H:$H)</f>
        <v>0</v>
      </c>
      <c r="HW9" s="38">
        <f>SUMIF('Rig 106'!$B:$B,Lists!$A$39,'Rig 106'!$I:$I)</f>
        <v>0</v>
      </c>
      <c r="HX9" s="38">
        <f>SUMIF('Rig 106'!$B:$B,Lists!$A$40,'Rig 106'!$C:$C)</f>
        <v>0</v>
      </c>
      <c r="HY9" s="38">
        <f>SUMIF('Rig 106'!$B:$B,Lists!$A$40,'Rig 106'!$E:$E)</f>
        <v>0</v>
      </c>
      <c r="HZ9" s="38">
        <f>SUMIF('Rig 106'!$B:$B,Lists!$A$40,'Rig 106'!$F:$F)</f>
        <v>0</v>
      </c>
      <c r="IA9" s="38">
        <f>SUMIF('Rig 106'!$B:$B,Lists!$A$40,'Rig 106'!$G:$G)</f>
        <v>0</v>
      </c>
      <c r="IB9" s="38">
        <f>SUMIF('Rig 106'!$B:$B,Lists!$A$40,'Rig 106'!$H:$H)</f>
        <v>0</v>
      </c>
      <c r="IC9" s="38">
        <f>SUMIF('Rig 106'!$B:$B,Lists!$A$40,'Rig 106'!$I:$I)</f>
        <v>0</v>
      </c>
      <c r="ID9" s="38">
        <f>SUMIF('Rig 106'!$B:$B,Lists!$A$41,'Rig 106'!$C:$C)</f>
        <v>0</v>
      </c>
      <c r="IE9" s="38">
        <f>SUMIF('Rig 106'!$B:$B,Lists!$A$41,'Rig 106'!$E:$E)</f>
        <v>0</v>
      </c>
      <c r="IF9" s="38">
        <f>SUMIF('Rig 106'!$B:$B,Lists!$A$41,'Rig 106'!$F:$F)</f>
        <v>0</v>
      </c>
      <c r="IG9" s="38">
        <f>SUMIF('Rig 106'!$B:$B,Lists!$A$41,'Rig 106'!$G:$G)</f>
        <v>0</v>
      </c>
      <c r="IH9" s="38">
        <f>SUMIF('Rig 106'!$B:$B,Lists!$A$41,'Rig 106'!$H:$H)</f>
        <v>0</v>
      </c>
      <c r="II9" s="38">
        <f>SUMIF('Rig 106'!$B:$B,Lists!$A$41,'Rig 106'!$I:$I)</f>
        <v>0</v>
      </c>
    </row>
    <row r="10" spans="1:243" ht="19.5" customHeight="1" x14ac:dyDescent="0.3">
      <c r="A10" s="31" t="s">
        <v>81</v>
      </c>
      <c r="B10" s="32">
        <f>'Rig 107'!D2</f>
        <v>46163</v>
      </c>
      <c r="C10" s="33" t="s">
        <v>77</v>
      </c>
      <c r="D10" s="34">
        <f>SUMIF('Rig 107'!$B:$B,Lists!$A$2,'Rig 107'!$C:$C)</f>
        <v>0</v>
      </c>
      <c r="E10" s="34">
        <f>SUMIF('Rig 107'!$B:$B,Lists!$A$2,'Rig 107'!$E:$E)</f>
        <v>0</v>
      </c>
      <c r="F10" s="34">
        <f>SUMIF('Rig 107'!$B:$B,Lists!$A$2,'Rig 107'!$F:$F)</f>
        <v>0</v>
      </c>
      <c r="G10" s="34">
        <f>SUMIF('Rig 107'!$B:$B,Lists!$A$2,'Rig 107'!$G:$G)</f>
        <v>0</v>
      </c>
      <c r="H10" s="34">
        <f>SUMIF('Rig 107'!$B:$B,Lists!$A$2,'Rig 107'!$H:$H)</f>
        <v>0</v>
      </c>
      <c r="I10" s="34">
        <f>SUMIF('Rig 107'!$B:$B,Lists!$A$2,'Rig 107'!$I:$I)</f>
        <v>0</v>
      </c>
      <c r="J10" s="34">
        <f>SUMIF('Rig 107'!$B:$B,Lists!$A$3,'Rig 107'!$C:$C)</f>
        <v>0</v>
      </c>
      <c r="K10" s="34">
        <f>SUMIF('Rig 107'!$B:$B,Lists!$A$3,'Rig 107'!$E:$E)</f>
        <v>0</v>
      </c>
      <c r="L10" s="34">
        <f>SUMIF('Rig 107'!$B:$B,Lists!$A$3,'Rig 107'!$F:$F)</f>
        <v>0</v>
      </c>
      <c r="M10" s="34">
        <f>SUMIF('Rig 107'!$B:$B,Lists!$A$3,'Rig 107'!$G:$G)</f>
        <v>0</v>
      </c>
      <c r="N10" s="34">
        <f>SUMIF('Rig 107'!$B:$B,Lists!$A$3,'Rig 107'!$H:$H)</f>
        <v>0</v>
      </c>
      <c r="O10" s="34">
        <f>SUMIF('Rig 107'!$B:$B,Lists!$A$3,'Rig 107'!$I:$I)</f>
        <v>0</v>
      </c>
      <c r="P10" s="34">
        <f>SUMIF('Rig 107'!$B:$B,Lists!$A$4,'Rig 107'!$C:$C)</f>
        <v>0</v>
      </c>
      <c r="Q10" s="34">
        <f>SUMIF('Rig 107'!$B:$B,Lists!$A$4,'Rig 107'!$E:$E)</f>
        <v>0</v>
      </c>
      <c r="R10" s="34">
        <f>SUMIF('Rig 107'!$B:$B,Lists!$A$4,'Rig 107'!$F:$F)</f>
        <v>0</v>
      </c>
      <c r="S10" s="34">
        <f>SUMIF('Rig 107'!$B:$B,Lists!$A$4,'Rig 107'!$G:$G)</f>
        <v>0</v>
      </c>
      <c r="T10" s="34">
        <f>SUMIF('Rig 107'!$B:$B,Lists!$A$4,'Rig 107'!$H:$H)</f>
        <v>0</v>
      </c>
      <c r="U10" s="34">
        <f>SUMIF('Rig 107'!$B:$B,Lists!$A$4,'Rig 107'!$I:$I)</f>
        <v>0</v>
      </c>
      <c r="V10" s="34">
        <f>SUMIF('Rig 107'!$B:$B,Lists!$A$5,'Rig 107'!$C:$C)</f>
        <v>0</v>
      </c>
      <c r="W10" s="34">
        <f>SUMIF('Rig 107'!$B:$B,Lists!$A$5,'Rig 107'!$E:$E)</f>
        <v>0</v>
      </c>
      <c r="X10" s="34">
        <f>SUMIF('Rig 107'!$B:$B,Lists!$A$5,'Rig 107'!$F:$F)</f>
        <v>0</v>
      </c>
      <c r="Y10" s="34">
        <f>SUMIF('Rig 107'!$B:$B,Lists!$A$5,'Rig 107'!$G:$G)</f>
        <v>0</v>
      </c>
      <c r="Z10" s="34">
        <f>SUMIF('Rig 107'!$B:$B,Lists!$A$5,'Rig 107'!$H:$H)</f>
        <v>0</v>
      </c>
      <c r="AA10" s="34">
        <f>SUMIF('Rig 107'!$B:$B,Lists!$A$5,'Rig 107'!$I:$I)</f>
        <v>0</v>
      </c>
      <c r="AB10" s="34">
        <f>SUMIF('Rig 107'!$B:$B,Lists!$A$6,'Rig 107'!$C:$C)</f>
        <v>0</v>
      </c>
      <c r="AC10" s="34">
        <f>SUMIF('Rig 107'!$B:$B,Lists!$A$6,'Rig 107'!$E:$E)</f>
        <v>0</v>
      </c>
      <c r="AD10" s="34">
        <f>SUMIF('Rig 107'!$B:$B,Lists!$A$6,'Rig 107'!$F:$F)</f>
        <v>0</v>
      </c>
      <c r="AE10" s="34">
        <f>SUMIF('Rig 107'!$B:$B,Lists!$A$6,'Rig 107'!$G:$G)</f>
        <v>0</v>
      </c>
      <c r="AF10" s="34">
        <f>SUMIF('Rig 107'!$B:$B,Lists!$A$6,'Rig 107'!$H:$H)</f>
        <v>0</v>
      </c>
      <c r="AG10" s="34">
        <f>SUMIF('Rig 107'!$B:$B,Lists!$A$6,'Rig 107'!$I:$I)</f>
        <v>0</v>
      </c>
      <c r="AH10" s="34">
        <f>SUMIF('Rig 107'!$B:$B,Lists!$A$7,'Rig 107'!$C:$C)</f>
        <v>313</v>
      </c>
      <c r="AI10" s="34">
        <f>SUMIF('Rig 107'!$B:$B,Lists!$A$7,'Rig 107'!$E:$E)</f>
        <v>298</v>
      </c>
      <c r="AJ10" s="34">
        <f>SUMIF('Rig 107'!$B:$B,Lists!$A$7,'Rig 107'!$F:$F)</f>
        <v>0</v>
      </c>
      <c r="AK10" s="34">
        <f>SUMIF('Rig 107'!$B:$B,Lists!$A$7,'Rig 107'!$G:$G)</f>
        <v>0</v>
      </c>
      <c r="AL10" s="34">
        <f>SUMIF('Rig 107'!$B:$B,Lists!$A$7,'Rig 107'!$H:$H)</f>
        <v>13</v>
      </c>
      <c r="AM10" s="34">
        <f>SUMIF('Rig 107'!$B:$B,Lists!$A$7,'Rig 107'!$I:$I)</f>
        <v>0</v>
      </c>
      <c r="AN10" s="34">
        <f>SUMIF('Rig 107'!$B:$B,Lists!$A$8,'Rig 107'!$C:$C)</f>
        <v>0</v>
      </c>
      <c r="AO10" s="34">
        <f>SUMIF('Rig 107'!$B:$B,Lists!$A$8,'Rig 107'!$E:$E)</f>
        <v>0</v>
      </c>
      <c r="AP10" s="34">
        <f>SUMIF('Rig 107'!$B:$B,Lists!$A$8,'Rig 107'!$F:$F)</f>
        <v>0</v>
      </c>
      <c r="AQ10" s="34">
        <f>SUMIF('Rig 107'!$B:$B,Lists!$A$8,'Rig 107'!$G:$G)</f>
        <v>0</v>
      </c>
      <c r="AR10" s="34">
        <f>SUMIF('Rig 107'!$B:$B,Lists!$A$8,'Rig 107'!$H:$H)</f>
        <v>0</v>
      </c>
      <c r="AS10" s="34">
        <f>SUMIF('Rig 107'!$B:$B,Lists!$A$8,'Rig 107'!$I:$I)</f>
        <v>0</v>
      </c>
      <c r="AT10" s="34">
        <f>SUMIF('Rig 107'!$B:$B,Lists!$A$9,'Rig 107'!$C:$C)</f>
        <v>0</v>
      </c>
      <c r="AU10" s="34">
        <f>SUMIF('Rig 107'!$B:$B,Lists!$A$9,'Rig 107'!$E:$E)</f>
        <v>0</v>
      </c>
      <c r="AV10" s="34">
        <f>SUMIF('Rig 107'!$B:$B,Lists!$A$9,'Rig 107'!$F:$F)</f>
        <v>0</v>
      </c>
      <c r="AW10" s="34">
        <f>SUMIF('Rig 107'!$B:$B,Lists!$A$9,'Rig 107'!$G:$G)</f>
        <v>0</v>
      </c>
      <c r="AX10" s="34">
        <f>SUMIF('Rig 107'!$B:$B,Lists!$A$9,'Rig 107'!$H:$H)</f>
        <v>0</v>
      </c>
      <c r="AY10" s="34">
        <f>SUMIF('Rig 107'!$B:$B,Lists!$A$9,'Rig 107'!$I:$I)</f>
        <v>0</v>
      </c>
      <c r="AZ10" s="34">
        <f>SUMIF('Rig 107'!$B:$B,Lists!$A$10,'Rig 107'!$C:$C)</f>
        <v>0</v>
      </c>
      <c r="BA10" s="34">
        <f>SUMIF('Rig 107'!$B:$B,Lists!$A$10,'Rig 107'!$E:$E)</f>
        <v>0</v>
      </c>
      <c r="BB10" s="34">
        <f>SUMIF('Rig 107'!$B:$B,Lists!$A$10,'Rig 107'!$F:$F)</f>
        <v>0</v>
      </c>
      <c r="BC10" s="34">
        <f>SUMIF('Rig 107'!$B:$B,Lists!$A$10,'Rig 107'!$G:$G)</f>
        <v>0</v>
      </c>
      <c r="BD10" s="34">
        <f>SUMIF('Rig 107'!$B:$B,Lists!$A$10,'Rig 107'!$H:$H)</f>
        <v>0</v>
      </c>
      <c r="BE10" s="34">
        <f>SUMIF('Rig 107'!$B:$B,Lists!$A$10,'Rig 107'!$I:$I)</f>
        <v>0</v>
      </c>
      <c r="BF10" s="34">
        <f>SUMIF('Rig 107'!$B:$B,Lists!$A$11,'Rig 107'!$C:$C)</f>
        <v>313</v>
      </c>
      <c r="BG10" s="34">
        <f>SUMIF('Rig 107'!$B:$B,Lists!$A$11,'Rig 107'!$E:$E)</f>
        <v>210</v>
      </c>
      <c r="BH10" s="34">
        <f>SUMIF('Rig 107'!$B:$B,Lists!$A$11,'Rig 107'!$F:$F)</f>
        <v>0</v>
      </c>
      <c r="BI10" s="34">
        <f>SUMIF('Rig 107'!$B:$B,Lists!$A$11,'Rig 107'!$G:$G)</f>
        <v>0</v>
      </c>
      <c r="BJ10" s="34">
        <f>SUMIF('Rig 107'!$B:$B,Lists!$A$11,'Rig 107'!$H:$H)</f>
        <v>0</v>
      </c>
      <c r="BK10" s="34">
        <f>SUMIF('Rig 107'!$B:$B,Lists!$A$11,'Rig 107'!$I:$I)</f>
        <v>0</v>
      </c>
      <c r="BL10" s="34">
        <f>SUMIF('Rig 107'!$B:$B,Lists!$A$12,'Rig 107'!$C:$C)</f>
        <v>0</v>
      </c>
      <c r="BM10" s="34">
        <f>SUMIF('Rig 107'!$B:$B,Lists!$A$12,'Rig 107'!$E:$E)</f>
        <v>0</v>
      </c>
      <c r="BN10" s="34">
        <f>SUMIF('Rig 107'!$B:$B,Lists!$A$12,'Rig 107'!$F:$F)</f>
        <v>0</v>
      </c>
      <c r="BO10" s="34">
        <f>SUMIF('Rig 107'!$B:$B,Lists!$A$12,'Rig 107'!$G:$G)</f>
        <v>0</v>
      </c>
      <c r="BP10" s="34">
        <f>SUMIF('Rig 107'!$B:$B,Lists!$A$12,'Rig 107'!$H:$H)</f>
        <v>0</v>
      </c>
      <c r="BQ10" s="34">
        <f>SUMIF('Rig 107'!$B:$B,Lists!$A$12,'Rig 107'!$I:$I)</f>
        <v>0</v>
      </c>
      <c r="BR10" s="34">
        <f>SUMIF('Rig 107'!$B:$B,Lists!$A$13,'Rig 107'!$C:$C)</f>
        <v>0</v>
      </c>
      <c r="BS10" s="34">
        <f>SUMIF('Rig 107'!$B:$B,Lists!$A$13,'Rig 107'!$E:$E)</f>
        <v>0</v>
      </c>
      <c r="BT10" s="34">
        <f>SUMIF('Rig 107'!$B:$B,Lists!$A$13,'Rig 107'!$F:$F)</f>
        <v>0</v>
      </c>
      <c r="BU10" s="34">
        <f>SUMIF('Rig 107'!$B:$B,Lists!$A$13,'Rig 107'!$G:$G)</f>
        <v>0</v>
      </c>
      <c r="BV10" s="34">
        <f>SUMIF('Rig 107'!$B:$B,Lists!$A$13,'Rig 107'!$H:$H)</f>
        <v>0</v>
      </c>
      <c r="BW10" s="34">
        <f>SUMIF('Rig 107'!$B:$B,Lists!$A$13,'Rig 107'!$I:$I)</f>
        <v>0</v>
      </c>
      <c r="BX10" s="34">
        <f>SUMIF('Rig 107'!$B:$B,Lists!$A$14,'Rig 107'!$C:$C)</f>
        <v>0</v>
      </c>
      <c r="BY10" s="34">
        <f>SUMIF('Rig 107'!$B:$B,Lists!$A$14,'Rig 107'!$E:$E)</f>
        <v>0</v>
      </c>
      <c r="BZ10" s="34">
        <f>SUMIF('Rig 107'!$B:$B,Lists!$A$14,'Rig 107'!$F:$F)</f>
        <v>0</v>
      </c>
      <c r="CA10" s="34">
        <f>SUMIF('Rig 107'!$B:$B,Lists!$A$14,'Rig 107'!$G:$G)</f>
        <v>0</v>
      </c>
      <c r="CB10" s="34">
        <f>SUMIF('Rig 107'!$B:$B,Lists!$A$14,'Rig 107'!$H:$H)</f>
        <v>0</v>
      </c>
      <c r="CC10" s="34">
        <f>SUMIF('Rig 107'!$B:$B,Lists!$A$14,'Rig 107'!$I:$I)</f>
        <v>0</v>
      </c>
      <c r="CD10" s="34">
        <f>SUMIF('Rig 107'!$B:$B,Lists!$A$15,'Rig 107'!$C:$C)</f>
        <v>0</v>
      </c>
      <c r="CE10" s="34">
        <f>SUMIF('Rig 107'!$B:$B,Lists!$A$15,'Rig 107'!$E:$E)</f>
        <v>0</v>
      </c>
      <c r="CF10" s="34">
        <f>SUMIF('Rig 107'!$B:$B,Lists!$A$15,'Rig 107'!$F:$F)</f>
        <v>0</v>
      </c>
      <c r="CG10" s="34">
        <f>SUMIF('Rig 107'!$B:$B,Lists!$A$15,'Rig 107'!$G:$G)</f>
        <v>0</v>
      </c>
      <c r="CH10" s="34">
        <f>SUMIF('Rig 107'!$B:$B,Lists!$A$15,'Rig 107'!$H:$H)</f>
        <v>0</v>
      </c>
      <c r="CI10" s="34">
        <f>SUMIF('Rig 107'!$B:$B,Lists!$A$15,'Rig 107'!$I:$I)</f>
        <v>0</v>
      </c>
      <c r="CJ10" s="34">
        <f>SUMIF('Rig 107'!$B:$B,Lists!$A$16,'Rig 107'!$C:$C)</f>
        <v>0</v>
      </c>
      <c r="CK10" s="34">
        <f>SUMIF('Rig 107'!$B:$B,Lists!$A$16,'Rig 107'!$E:$E)</f>
        <v>0</v>
      </c>
      <c r="CL10" s="34">
        <f>SUMIF('Rig 107'!$B:$B,Lists!$A$16,'Rig 107'!$F:$F)</f>
        <v>0</v>
      </c>
      <c r="CM10" s="34">
        <f>SUMIF('Rig 107'!$B:$B,Lists!$A$16,'Rig 107'!$G:$G)</f>
        <v>0</v>
      </c>
      <c r="CN10" s="34">
        <f>SUMIF('Rig 107'!$B:$B,Lists!$A$16,'Rig 107'!$H:$H)</f>
        <v>0</v>
      </c>
      <c r="CO10" s="34">
        <f>SUMIF('Rig 107'!$B:$B,Lists!$A$16,'Rig 107'!$I:$I)</f>
        <v>0</v>
      </c>
      <c r="CP10" s="34">
        <f>SUMIF('Rig 107'!$B:$B,Lists!$A$17,'Rig 107'!$C:$C)</f>
        <v>0</v>
      </c>
      <c r="CQ10" s="34">
        <f>SUMIF('Rig 107'!$B:$B,Lists!$A$17,'Rig 107'!$E:$E)</f>
        <v>0</v>
      </c>
      <c r="CR10" s="34">
        <f>SUMIF('Rig 107'!$B:$B,Lists!$A$17,'Rig 107'!$F:$F)</f>
        <v>0</v>
      </c>
      <c r="CS10" s="34">
        <f>SUMIF('Rig 107'!$B:$B,Lists!$A$17,'Rig 107'!$G:$G)</f>
        <v>0</v>
      </c>
      <c r="CT10" s="34">
        <f>SUMIF('Rig 107'!$B:$B,Lists!$A$17,'Rig 107'!$H:$H)</f>
        <v>0</v>
      </c>
      <c r="CU10" s="34">
        <f>SUMIF('Rig 107'!$B:$B,Lists!$A$17,'Rig 107'!$I:$I)</f>
        <v>0</v>
      </c>
      <c r="CV10" s="34">
        <f>SUMIF('Rig 107'!$B:$B,Lists!$A$18,'Rig 107'!$C:$C)</f>
        <v>42</v>
      </c>
      <c r="CW10" s="34">
        <f>SUMIF('Rig 107'!$B:$B,Lists!$A$18,'Rig 107'!$E:$E)</f>
        <v>42</v>
      </c>
      <c r="CX10" s="34">
        <f>SUMIF('Rig 107'!$B:$B,Lists!$A$18,'Rig 107'!$F:$F)</f>
        <v>0</v>
      </c>
      <c r="CY10" s="34">
        <f>SUMIF('Rig 107'!$B:$B,Lists!$A$18,'Rig 107'!$G:$G)</f>
        <v>0</v>
      </c>
      <c r="CZ10" s="34">
        <f>SUMIF('Rig 107'!$B:$B,Lists!$A$18,'Rig 107'!$H:$H)</f>
        <v>0</v>
      </c>
      <c r="DA10" s="34">
        <f>SUMIF('Rig 107'!$B:$B,Lists!$A$18,'Rig 107'!$I:$I)</f>
        <v>0</v>
      </c>
      <c r="DB10" s="34">
        <f>SUMIF('Rig 107'!$B:$B,Lists!$A$19,'Rig 107'!$C:$C)</f>
        <v>42</v>
      </c>
      <c r="DC10" s="34">
        <f>SUMIF('Rig 107'!$B:$B,Lists!$A$19,'Rig 107'!$E:$E)</f>
        <v>47</v>
      </c>
      <c r="DD10" s="34">
        <f>SUMIF('Rig 107'!$B:$B,Lists!$A$19,'Rig 107'!$F:$F)</f>
        <v>0</v>
      </c>
      <c r="DE10" s="34">
        <f>SUMIF('Rig 107'!$B:$B,Lists!$A$19,'Rig 107'!$G:$G)</f>
        <v>0</v>
      </c>
      <c r="DF10" s="34">
        <f>SUMIF('Rig 107'!$B:$B,Lists!$A$19,'Rig 107'!$H:$H)</f>
        <v>0</v>
      </c>
      <c r="DG10" s="34">
        <f>SUMIF('Rig 107'!$B:$B,Lists!$A$19,'Rig 107'!$I:$I)</f>
        <v>0</v>
      </c>
      <c r="DH10" s="34">
        <f>SUMIF('Rig 107'!$B:$B,Lists!$A$20,'Rig 107'!$C:$C)</f>
        <v>0</v>
      </c>
      <c r="DI10" s="34">
        <f>SUMIF('Rig 107'!$B:$B,Lists!$A$20,'Rig 107'!$E:$E)</f>
        <v>0</v>
      </c>
      <c r="DJ10" s="34">
        <f>SUMIF('Rig 107'!$B:$B,Lists!$A$20,'Rig 107'!$F:$F)</f>
        <v>0</v>
      </c>
      <c r="DK10" s="34">
        <f>SUMIF('Rig 107'!$B:$B,Lists!$A$20,'Rig 107'!$G:$G)</f>
        <v>0</v>
      </c>
      <c r="DL10" s="34">
        <f>SUMIF('Rig 107'!$B:$B,Lists!$A$20,'Rig 107'!$H:$H)</f>
        <v>0</v>
      </c>
      <c r="DM10" s="34">
        <f>SUMIF('Rig 107'!$B:$B,Lists!$A$20,'Rig 107'!$I:$I)</f>
        <v>0</v>
      </c>
      <c r="DN10" s="34">
        <f>SUMIF('Rig 107'!$B:$B,Lists!$A$21,'Rig 107'!$C:$C)</f>
        <v>0</v>
      </c>
      <c r="DO10" s="34">
        <f>SUMIF('Rig 107'!$B:$B,Lists!$A$21,'Rig 107'!$E:$E)</f>
        <v>0</v>
      </c>
      <c r="DP10" s="34">
        <f>SUMIF('Rig 107'!$B:$B,Lists!$A$21,'Rig 107'!$F:$F)</f>
        <v>0</v>
      </c>
      <c r="DQ10" s="34">
        <f>SUMIF('Rig 107'!$B:$B,Lists!$A$21,'Rig 107'!$G:$G)</f>
        <v>0</v>
      </c>
      <c r="DR10" s="34">
        <f>SUMIF('Rig 107'!$B:$B,Lists!$A$21,'Rig 107'!$H:$H)</f>
        <v>0</v>
      </c>
      <c r="DS10" s="34">
        <f>SUMIF('Rig 107'!$B:$B,Lists!$A$21,'Rig 107'!$I:$I)</f>
        <v>0</v>
      </c>
      <c r="DT10" s="34">
        <f>SUMIF('Rig 107'!$B:$B,Lists!$A$22,'Rig 107'!$C:$C)</f>
        <v>0</v>
      </c>
      <c r="DU10" s="34">
        <f>SUMIF('Rig 107'!$B:$B,Lists!$A$22,'Rig 107'!$E:$E)</f>
        <v>0</v>
      </c>
      <c r="DV10" s="34">
        <f>SUMIF('Rig 107'!$B:$B,Lists!$A$22,'Rig 107'!$F:$F)</f>
        <v>0</v>
      </c>
      <c r="DW10" s="34">
        <f>SUMIF('Rig 107'!$B:$B,Lists!$A$22,'Rig 107'!$G:$G)</f>
        <v>0</v>
      </c>
      <c r="DX10" s="34">
        <f>SUMIF('Rig 107'!$B:$B,Lists!$A$22,'Rig 107'!$H:$H)</f>
        <v>0</v>
      </c>
      <c r="DY10" s="34">
        <f>SUMIF('Rig 107'!$B:$B,Lists!$A$22,'Rig 107'!$I:$I)</f>
        <v>0</v>
      </c>
      <c r="DZ10" s="34">
        <f>SUMIF('Rig 107'!$B:$B,Lists!$A$23,'Rig 107'!$C:$C)</f>
        <v>0</v>
      </c>
      <c r="EA10" s="34">
        <f>SUMIF('Rig 107'!$B:$B,Lists!$A$23,'Rig 107'!$E:$E)</f>
        <v>0</v>
      </c>
      <c r="EB10" s="34">
        <f>SUMIF('Rig 107'!$B:$B,Lists!$A$23,'Rig 107'!$F:$F)</f>
        <v>0</v>
      </c>
      <c r="EC10" s="34">
        <f>SUMIF('Rig 107'!$B:$B,Lists!$A$23,'Rig 107'!$G:$G)</f>
        <v>0</v>
      </c>
      <c r="ED10" s="34">
        <f>SUMIF('Rig 107'!$B:$B,Lists!$A$23,'Rig 107'!$H:$H)</f>
        <v>0</v>
      </c>
      <c r="EE10" s="34">
        <f>SUMIF('Rig 107'!$B:$B,Lists!$A$23,'Rig 107'!$I:$I)</f>
        <v>0</v>
      </c>
      <c r="EF10" s="34">
        <f>SUMIF('Rig 107'!$B:$B,Lists!$A$24,'Rig 107'!$C:$C)</f>
        <v>30</v>
      </c>
      <c r="EG10" s="34">
        <f>SUMIF('Rig 107'!$B:$B,Lists!$A$24,'Rig 107'!$E:$E)</f>
        <v>21</v>
      </c>
      <c r="EH10" s="34">
        <f>SUMIF('Rig 107'!$B:$B,Lists!$A$24,'Rig 107'!$F:$F)</f>
        <v>0</v>
      </c>
      <c r="EI10" s="34">
        <f>SUMIF('Rig 107'!$B:$B,Lists!$A$24,'Rig 107'!$G:$G)</f>
        <v>0</v>
      </c>
      <c r="EJ10" s="34">
        <f>SUMIF('Rig 107'!$B:$B,Lists!$A$24,'Rig 107'!$H:$H)</f>
        <v>0</v>
      </c>
      <c r="EK10" s="34">
        <f>SUMIF('Rig 107'!$B:$B,Lists!$A$24,'Rig 107'!$I:$I)</f>
        <v>0</v>
      </c>
      <c r="EL10" s="34">
        <f>SUMIF('Rig 107'!$B:$B,Lists!$A$25,'Rig 107'!$C:$C)</f>
        <v>30</v>
      </c>
      <c r="EM10" s="34">
        <f>SUMIF('Rig 107'!$B:$B,Lists!$A$25,'Rig 107'!$E:$E)</f>
        <v>20</v>
      </c>
      <c r="EN10" s="34">
        <f>SUMIF('Rig 107'!$B:$B,Lists!$A$25,'Rig 107'!$F:$F)</f>
        <v>0</v>
      </c>
      <c r="EO10" s="34">
        <f>SUMIF('Rig 107'!$B:$B,Lists!$A$25,'Rig 107'!$G:$G)</f>
        <v>0</v>
      </c>
      <c r="EP10" s="34">
        <f>SUMIF('Rig 107'!$B:$B,Lists!$A$25,'Rig 107'!$H:$H)</f>
        <v>0</v>
      </c>
      <c r="EQ10" s="34">
        <f>SUMIF('Rig 107'!$B:$B,Lists!$A$25,'Rig 107'!$I:$I)</f>
        <v>0</v>
      </c>
      <c r="ER10" s="34">
        <f>SUMIF('Rig 107'!$B:$B,Lists!$A$26,'Rig 107'!$C:$C)</f>
        <v>0</v>
      </c>
      <c r="ES10" s="34">
        <f>SUMIF('Rig 107'!$B:$B,Lists!$A$26,'Rig 107'!$E:$E)</f>
        <v>0</v>
      </c>
      <c r="ET10" s="34">
        <f>SUMIF('Rig 107'!$B:$B,Lists!$A$26,'Rig 107'!$F:$F)</f>
        <v>0</v>
      </c>
      <c r="EU10" s="34">
        <f>SUMIF('Rig 107'!$B:$B,Lists!$A$26,'Rig 107'!$G:$G)</f>
        <v>0</v>
      </c>
      <c r="EV10" s="34">
        <f>SUMIF('Rig 107'!$B:$B,Lists!$A$26,'Rig 107'!$H:$H)</f>
        <v>0</v>
      </c>
      <c r="EW10" s="34">
        <f>SUMIF('Rig 107'!$B:$B,Lists!$A$26,'Rig 107'!$I:$I)</f>
        <v>0</v>
      </c>
      <c r="EX10" s="34">
        <f>SUMIF('Rig 107'!$B:$B,Lists!$A$27,'Rig 107'!$C:$C)</f>
        <v>0</v>
      </c>
      <c r="EY10" s="34">
        <f>SUMIF('Rig 107'!$B:$B,Lists!$A$27,'Rig 107'!$E:$E)</f>
        <v>0</v>
      </c>
      <c r="EZ10" s="34">
        <f>SUMIF('Rig 107'!$B:$B,Lists!$A$27,'Rig 107'!$F:$F)</f>
        <v>0</v>
      </c>
      <c r="FA10" s="34">
        <f>SUMIF('Rig 107'!$B:$B,Lists!$A$27,'Rig 107'!$G:$G)</f>
        <v>0</v>
      </c>
      <c r="FB10" s="34">
        <f>SUMIF('Rig 107'!$B:$B,Lists!$A$27,'Rig 107'!$H:$H)</f>
        <v>0</v>
      </c>
      <c r="FC10" s="34">
        <f>SUMIF('Rig 107'!$B:$B,Lists!$A$27,'Rig 107'!$I:$I)</f>
        <v>0</v>
      </c>
      <c r="FD10" s="34">
        <f>SUMIF('Rig 107'!$B:$B,Lists!$A$28,'Rig 107'!$C:$C)</f>
        <v>0</v>
      </c>
      <c r="FE10" s="34">
        <f>SUMIF('Rig 107'!$B:$B,Lists!$A$28,'Rig 107'!$E:$E)</f>
        <v>0</v>
      </c>
      <c r="FF10" s="34">
        <f>SUMIF('Rig 107'!$B:$B,Lists!$A$28,'Rig 107'!$F:$F)</f>
        <v>0</v>
      </c>
      <c r="FG10" s="34">
        <f>SUMIF('Rig 107'!$B:$B,Lists!$A$28,'Rig 107'!$G:$G)</f>
        <v>0</v>
      </c>
      <c r="FH10" s="34">
        <f>SUMIF('Rig 107'!$B:$B,Lists!$A$28,'Rig 107'!$H:$H)</f>
        <v>0</v>
      </c>
      <c r="FI10" s="34">
        <f>SUMIF('Rig 107'!$B:$B,Lists!$A$28,'Rig 107'!$I:$I)</f>
        <v>0</v>
      </c>
      <c r="FJ10" s="34">
        <f>SUMIF('Rig 107'!$B:$B,Lists!$A$29,'Rig 107'!$C:$C)</f>
        <v>20</v>
      </c>
      <c r="FK10" s="34">
        <f>SUMIF('Rig 107'!$B:$B,Lists!$A$29,'Rig 107'!$E:$E)</f>
        <v>20</v>
      </c>
      <c r="FL10" s="34">
        <f>SUMIF('Rig 107'!$B:$B,Lists!$A$29,'Rig 107'!$F:$F)</f>
        <v>0</v>
      </c>
      <c r="FM10" s="34">
        <f>SUMIF('Rig 107'!$B:$B,Lists!$A$29,'Rig 107'!$G:$G)</f>
        <v>0</v>
      </c>
      <c r="FN10" s="34">
        <f>SUMIF('Rig 107'!$B:$B,Lists!$A$29,'Rig 107'!$H:$H)</f>
        <v>0</v>
      </c>
      <c r="FO10" s="34">
        <f>SUMIF('Rig 107'!$B:$B,Lists!$A$29,'Rig 107'!$I:$I)</f>
        <v>0</v>
      </c>
      <c r="FP10" s="34">
        <f>SUMIF('Rig 107'!$B:$B,Lists!$A$30,'Rig 107'!$C:$C)</f>
        <v>0</v>
      </c>
      <c r="FQ10" s="34">
        <f>SUMIF('Rig 107'!$B:$B,Lists!$A$30,'Rig 107'!$E:$E)</f>
        <v>0</v>
      </c>
      <c r="FR10" s="34">
        <f>SUMIF('Rig 107'!$B:$B,Lists!$A$30,'Rig 107'!$F:$F)</f>
        <v>0</v>
      </c>
      <c r="FS10" s="34">
        <f>SUMIF('Rig 107'!$B:$B,Lists!$A$30,'Rig 107'!$G:$G)</f>
        <v>0</v>
      </c>
      <c r="FT10" s="34">
        <f>SUMIF('Rig 107'!$B:$B,Lists!$A$30,'Rig 107'!$H:$H)</f>
        <v>0</v>
      </c>
      <c r="FU10" s="34">
        <f>SUMIF('Rig 107'!$B:$B,Lists!$A$30,'Rig 107'!$I:$I)</f>
        <v>0</v>
      </c>
      <c r="FV10" s="34">
        <f>SUMIF('Rig 107'!$B:$B,Lists!$A$31,'Rig 107'!$C:$C)</f>
        <v>0</v>
      </c>
      <c r="FW10" s="34">
        <f>SUMIF('Rig 107'!$B:$B,Lists!$A$31,'Rig 107'!$E:$E)</f>
        <v>0</v>
      </c>
      <c r="FX10" s="34">
        <f>SUMIF('Rig 107'!$B:$B,Lists!$A$31,'Rig 107'!$F:$F)</f>
        <v>0</v>
      </c>
      <c r="FY10" s="34">
        <f>SUMIF('Rig 107'!$B:$B,Lists!$A$31,'Rig 107'!$G:$G)</f>
        <v>0</v>
      </c>
      <c r="FZ10" s="34">
        <f>SUMIF('Rig 107'!$B:$B,Lists!$A$31,'Rig 107'!$H:$H)</f>
        <v>0</v>
      </c>
      <c r="GA10" s="34">
        <f>SUMIF('Rig 107'!$B:$B,Lists!$A$31,'Rig 107'!$I:$I)</f>
        <v>0</v>
      </c>
      <c r="GB10" s="34">
        <f>SUMIF('Rig 107'!$B:$B,Lists!$A$32,'Rig 107'!$C:$C)</f>
        <v>0</v>
      </c>
      <c r="GC10" s="34">
        <f>SUMIF('Rig 107'!$B:$B,Lists!$A$32,'Rig 107'!$E:$E)</f>
        <v>0</v>
      </c>
      <c r="GD10" s="34">
        <f>SUMIF('Rig 107'!$B:$B,Lists!$A$32,'Rig 107'!$F:$F)</f>
        <v>0</v>
      </c>
      <c r="GE10" s="34">
        <f>SUMIF('Rig 107'!$B:$B,Lists!$A$32,'Rig 107'!$G:$G)</f>
        <v>0</v>
      </c>
      <c r="GF10" s="34">
        <f>SUMIF('Rig 107'!$B:$B,Lists!$A$32,'Rig 107'!$H:$H)</f>
        <v>0</v>
      </c>
      <c r="GG10" s="34">
        <f>SUMIF('Rig 107'!$B:$B,Lists!$A$32,'Rig 107'!$I:$I)</f>
        <v>0</v>
      </c>
      <c r="GH10" s="34">
        <f>SUMIF('Rig 107'!$B:$B,Lists!$A$33,'Rig 107'!$C:$C)</f>
        <v>0</v>
      </c>
      <c r="GI10" s="34">
        <f>SUMIF('Rig 107'!$B:$B,Lists!$A$33,'Rig 107'!$E:$E)</f>
        <v>6</v>
      </c>
      <c r="GJ10" s="34">
        <f>SUMIF('Rig 107'!$B:$B,Lists!$A$33,'Rig 107'!$F:$F)</f>
        <v>0</v>
      </c>
      <c r="GK10" s="34">
        <f>SUMIF('Rig 107'!$B:$B,Lists!$A$33,'Rig 107'!$G:$G)</f>
        <v>0</v>
      </c>
      <c r="GL10" s="34">
        <f>SUMIF('Rig 107'!$B:$B,Lists!$A$33,'Rig 107'!$H:$H)</f>
        <v>0</v>
      </c>
      <c r="GM10" s="34">
        <f>SUMIF('Rig 107'!$B:$B,Lists!$A$33,'Rig 107'!$I:$I)</f>
        <v>0</v>
      </c>
      <c r="GN10" s="34">
        <f>SUMIF('Rig 107'!$B:$B,Lists!$A$34,'Rig 107'!$C:$C)</f>
        <v>0</v>
      </c>
      <c r="GO10" s="34">
        <f>SUMIF('Rig 107'!$B:$B,Lists!$A$34,'Rig 107'!$E:$E)</f>
        <v>0</v>
      </c>
      <c r="GP10" s="34">
        <f>SUMIF('Rig 107'!$B:$B,Lists!$A$34,'Rig 107'!$F:$F)</f>
        <v>0</v>
      </c>
      <c r="GQ10" s="34">
        <f>SUMIF('Rig 107'!$B:$B,Lists!$A$34,'Rig 107'!$G:$G)</f>
        <v>0</v>
      </c>
      <c r="GR10" s="34">
        <f>SUMIF('Rig 107'!$B:$B,Lists!$A$34,'Rig 107'!$H:$H)</f>
        <v>0</v>
      </c>
      <c r="GS10" s="34">
        <f>SUMIF('Rig 107'!$B:$B,Lists!$A$34,'Rig 107'!$I:$I)</f>
        <v>0</v>
      </c>
      <c r="GT10" s="34">
        <f>SUMIF('Rig 107'!$B:$B,Lists!$A$35,'Rig 107'!$C:$C)</f>
        <v>0</v>
      </c>
      <c r="GU10" s="34">
        <f>SUMIF('Rig 107'!$B:$B,Lists!$A$35,'Rig 107'!$E:$E)</f>
        <v>0</v>
      </c>
      <c r="GV10" s="34">
        <f>SUMIF('Rig 107'!$B:$B,Lists!$A$35,'Rig 107'!$F:$F)</f>
        <v>0</v>
      </c>
      <c r="GW10" s="34">
        <f>SUMIF('Rig 107'!$B:$B,Lists!$A$35,'Rig 107'!$G:$G)</f>
        <v>0</v>
      </c>
      <c r="GX10" s="34">
        <f>SUMIF('Rig 107'!$B:$B,Lists!$A$35,'Rig 107'!$H:$H)</f>
        <v>0</v>
      </c>
      <c r="GY10" s="34">
        <f>SUMIF('Rig 107'!$B:$B,Lists!$A$35,'Rig 107'!$I:$I)</f>
        <v>0</v>
      </c>
      <c r="GZ10" s="34">
        <f>SUMIF('Rig 107'!$B:$B,Lists!$A$36,'Rig 107'!$C:$C)</f>
        <v>0</v>
      </c>
      <c r="HA10" s="34">
        <f>SUMIF('Rig 107'!$B:$B,Lists!$A$36,'Rig 107'!$E:$E)</f>
        <v>0</v>
      </c>
      <c r="HB10" s="34">
        <f>SUMIF('Rig 107'!$B:$B,Lists!$A$36,'Rig 107'!$F:$F)</f>
        <v>0</v>
      </c>
      <c r="HC10" s="34">
        <f>SUMIF('Rig 107'!$B:$B,Lists!$A$36,'Rig 107'!$G:$G)</f>
        <v>0</v>
      </c>
      <c r="HD10" s="34">
        <f>SUMIF('Rig 107'!$B:$B,Lists!$A$36,'Rig 107'!$H:$H)</f>
        <v>0</v>
      </c>
      <c r="HE10" s="34">
        <f>SUMIF('Rig 107'!$B:$B,Lists!$A$36,'Rig 107'!$I:$I)</f>
        <v>0</v>
      </c>
      <c r="HF10" s="34">
        <f>SUMIF('Rig 107'!$B:$B,Lists!$A$37,'Rig 107'!$C:$C)</f>
        <v>0</v>
      </c>
      <c r="HG10" s="34">
        <f>SUMIF('Rig 107'!$B:$B,Lists!$A$37,'Rig 107'!$E:$E)</f>
        <v>0</v>
      </c>
      <c r="HH10" s="34">
        <f>SUMIF('Rig 107'!$B:$B,Lists!$A$37,'Rig 107'!$F:$F)</f>
        <v>0</v>
      </c>
      <c r="HI10" s="34">
        <f>SUMIF('Rig 107'!$B:$B,Lists!$A$37,'Rig 107'!$G:$G)</f>
        <v>0</v>
      </c>
      <c r="HJ10" s="34">
        <f>SUMIF('Rig 107'!$B:$B,Lists!$A$37,'Rig 107'!$H:$H)</f>
        <v>0</v>
      </c>
      <c r="HK10" s="34">
        <f>SUMIF('Rig 107'!$B:$B,Lists!$A$37,'Rig 107'!$I:$I)</f>
        <v>0</v>
      </c>
      <c r="HL10" s="34">
        <f>SUMIF('Rig 107'!$B:$B,Lists!$A$38,'Rig 107'!$C:$C)</f>
        <v>0</v>
      </c>
      <c r="HM10" s="34">
        <f>SUMIF('Rig 107'!$B:$B,Lists!$A$38,'Rig 107'!$E:$E)</f>
        <v>0</v>
      </c>
      <c r="HN10" s="34">
        <f>SUMIF('Rig 107'!$B:$B,Lists!$A$38,'Rig 107'!$F:$F)</f>
        <v>0</v>
      </c>
      <c r="HO10" s="34">
        <f>SUMIF('Rig 107'!$B:$B,Lists!$A$38,'Rig 107'!$G:$G)</f>
        <v>0</v>
      </c>
      <c r="HP10" s="34">
        <f>SUMIF('Rig 107'!$B:$B,Lists!$A$38,'Rig 107'!$H:$H)</f>
        <v>0</v>
      </c>
      <c r="HQ10" s="34">
        <f>SUMIF('Rig 107'!$B:$B,Lists!$A$38,'Rig 107'!$I:$I)</f>
        <v>0</v>
      </c>
      <c r="HR10" s="34">
        <f>SUMIF('Rig 107'!$B:$B,Lists!$A$39,'Rig 107'!$C:$C)</f>
        <v>6</v>
      </c>
      <c r="HS10" s="34">
        <f>SUMIF('Rig 107'!$B:$B,Lists!$A$39,'Rig 107'!$E:$E)</f>
        <v>8</v>
      </c>
      <c r="HT10" s="34">
        <f>SUMIF('Rig 107'!$B:$B,Lists!$A$39,'Rig 107'!$F:$F)</f>
        <v>0</v>
      </c>
      <c r="HU10" s="34">
        <f>SUMIF('Rig 107'!$B:$B,Lists!$A$39,'Rig 107'!$G:$G)</f>
        <v>0</v>
      </c>
      <c r="HV10" s="34">
        <f>SUMIF('Rig 107'!$B:$B,Lists!$A$39,'Rig 107'!$H:$H)</f>
        <v>0</v>
      </c>
      <c r="HW10" s="34">
        <f>SUMIF('Rig 107'!$B:$B,Lists!$A$39,'Rig 107'!$I:$I)</f>
        <v>0</v>
      </c>
      <c r="HX10" s="34">
        <f>SUMIF('Rig 107'!$B:$B,Lists!$A$40,'Rig 107'!$C:$C)</f>
        <v>0</v>
      </c>
      <c r="HY10" s="34">
        <f>SUMIF('Rig 107'!$B:$B,Lists!$A$40,'Rig 107'!$E:$E)</f>
        <v>0</v>
      </c>
      <c r="HZ10" s="34">
        <f>SUMIF('Rig 107'!$B:$B,Lists!$A$40,'Rig 107'!$F:$F)</f>
        <v>0</v>
      </c>
      <c r="IA10" s="34">
        <f>SUMIF('Rig 107'!$B:$B,Lists!$A$40,'Rig 107'!$G:$G)</f>
        <v>0</v>
      </c>
      <c r="IB10" s="34">
        <f>SUMIF('Rig 107'!$B:$B,Lists!$A$40,'Rig 107'!$H:$H)</f>
        <v>0</v>
      </c>
      <c r="IC10" s="34">
        <f>SUMIF('Rig 107'!$B:$B,Lists!$A$40,'Rig 107'!$I:$I)</f>
        <v>0</v>
      </c>
      <c r="ID10" s="34">
        <f>SUMIF('Rig 107'!$B:$B,Lists!$A$41,'Rig 107'!$C:$C)</f>
        <v>0</v>
      </c>
      <c r="IE10" s="34">
        <f>SUMIF('Rig 107'!$B:$B,Lists!$A$41,'Rig 107'!$E:$E)</f>
        <v>0</v>
      </c>
      <c r="IF10" s="34">
        <f>SUMIF('Rig 107'!$B:$B,Lists!$A$41,'Rig 107'!$F:$F)</f>
        <v>0</v>
      </c>
      <c r="IG10" s="34">
        <f>SUMIF('Rig 107'!$B:$B,Lists!$A$41,'Rig 107'!$G:$G)</f>
        <v>0</v>
      </c>
      <c r="IH10" s="34">
        <f>SUMIF('Rig 107'!$B:$B,Lists!$A$41,'Rig 107'!$H:$H)</f>
        <v>0</v>
      </c>
      <c r="II10" s="34">
        <f>SUMIF('Rig 107'!$B:$B,Lists!$A$41,'Rig 107'!$I:$I)</f>
        <v>0</v>
      </c>
    </row>
    <row r="11" spans="1:243" ht="19.5" customHeight="1" x14ac:dyDescent="0.3">
      <c r="A11" s="35" t="s">
        <v>82</v>
      </c>
      <c r="B11" s="36">
        <f>'Rig 108'!D2</f>
        <v>46091</v>
      </c>
      <c r="C11" s="37" t="s">
        <v>77</v>
      </c>
      <c r="D11" s="38">
        <f>SUMIF('Rig 108'!$B:$B,Lists!$A$2,'Rig 108'!$C:$C)</f>
        <v>0</v>
      </c>
      <c r="E11" s="38">
        <f>SUMIF('Rig 108'!$B:$B,Lists!$A$2,'Rig 108'!$E:$E)</f>
        <v>0</v>
      </c>
      <c r="F11" s="38">
        <f>SUMIF('Rig 108'!$B:$B,Lists!$A$2,'Rig 108'!$F:$F)</f>
        <v>0</v>
      </c>
      <c r="G11" s="38">
        <f>SUMIF('Rig 108'!$B:$B,Lists!$A$2,'Rig 108'!$G:$G)</f>
        <v>0</v>
      </c>
      <c r="H11" s="38">
        <f>SUMIF('Rig 108'!$B:$B,Lists!$A$2,'Rig 108'!$H:$H)</f>
        <v>0</v>
      </c>
      <c r="I11" s="38">
        <f>SUMIF('Rig 108'!$B:$B,Lists!$A$2,'Rig 108'!$I:$I)</f>
        <v>0</v>
      </c>
      <c r="J11" s="38">
        <f>SUMIF('Rig 108'!$B:$B,Lists!$A$3,'Rig 108'!$C:$C)</f>
        <v>0</v>
      </c>
      <c r="K11" s="38">
        <f>SUMIF('Rig 108'!$B:$B,Lists!$A$3,'Rig 108'!$E:$E)</f>
        <v>0</v>
      </c>
      <c r="L11" s="38">
        <f>SUMIF('Rig 108'!$B:$B,Lists!$A$3,'Rig 108'!$F:$F)</f>
        <v>0</v>
      </c>
      <c r="M11" s="38">
        <f>SUMIF('Rig 108'!$B:$B,Lists!$A$3,'Rig 108'!$G:$G)</f>
        <v>0</v>
      </c>
      <c r="N11" s="38">
        <f>SUMIF('Rig 108'!$B:$B,Lists!$A$3,'Rig 108'!$H:$H)</f>
        <v>0</v>
      </c>
      <c r="O11" s="38">
        <f>SUMIF('Rig 108'!$B:$B,Lists!$A$3,'Rig 108'!$I:$I)</f>
        <v>0</v>
      </c>
      <c r="P11" s="38">
        <f>SUMIF('Rig 108'!$B:$B,Lists!$A$4,'Rig 108'!$C:$C)</f>
        <v>0</v>
      </c>
      <c r="Q11" s="38">
        <f>SUMIF('Rig 108'!$B:$B,Lists!$A$4,'Rig 108'!$E:$E)</f>
        <v>0</v>
      </c>
      <c r="R11" s="38">
        <f>SUMIF('Rig 108'!$B:$B,Lists!$A$4,'Rig 108'!$F:$F)</f>
        <v>0</v>
      </c>
      <c r="S11" s="38">
        <f>SUMIF('Rig 108'!$B:$B,Lists!$A$4,'Rig 108'!$G:$G)</f>
        <v>0</v>
      </c>
      <c r="T11" s="38">
        <f>SUMIF('Rig 108'!$B:$B,Lists!$A$4,'Rig 108'!$H:$H)</f>
        <v>0</v>
      </c>
      <c r="U11" s="38">
        <f>SUMIF('Rig 108'!$B:$B,Lists!$A$4,'Rig 108'!$I:$I)</f>
        <v>0</v>
      </c>
      <c r="V11" s="38">
        <f>SUMIF('Rig 108'!$B:$B,Lists!$A$5,'Rig 108'!$C:$C)</f>
        <v>0</v>
      </c>
      <c r="W11" s="38">
        <f>SUMIF('Rig 108'!$B:$B,Lists!$A$5,'Rig 108'!$E:$E)</f>
        <v>0</v>
      </c>
      <c r="X11" s="38">
        <f>SUMIF('Rig 108'!$B:$B,Lists!$A$5,'Rig 108'!$F:$F)</f>
        <v>0</v>
      </c>
      <c r="Y11" s="38">
        <f>SUMIF('Rig 108'!$B:$B,Lists!$A$5,'Rig 108'!$G:$G)</f>
        <v>0</v>
      </c>
      <c r="Z11" s="38">
        <f>SUMIF('Rig 108'!$B:$B,Lists!$A$5,'Rig 108'!$H:$H)</f>
        <v>0</v>
      </c>
      <c r="AA11" s="38">
        <f>SUMIF('Rig 108'!$B:$B,Lists!$A$5,'Rig 108'!$I:$I)</f>
        <v>0</v>
      </c>
      <c r="AB11" s="38">
        <f>SUMIF('Rig 108'!$B:$B,Lists!$A$6,'Rig 108'!$C:$C)</f>
        <v>0</v>
      </c>
      <c r="AC11" s="38">
        <f>SUMIF('Rig 108'!$B:$B,Lists!$A$6,'Rig 108'!$E:$E)</f>
        <v>0</v>
      </c>
      <c r="AD11" s="38">
        <f>SUMIF('Rig 108'!$B:$B,Lists!$A$6,'Rig 108'!$F:$F)</f>
        <v>0</v>
      </c>
      <c r="AE11" s="38">
        <f>SUMIF('Rig 108'!$B:$B,Lists!$A$6,'Rig 108'!$G:$G)</f>
        <v>0</v>
      </c>
      <c r="AF11" s="38">
        <f>SUMIF('Rig 108'!$B:$B,Lists!$A$6,'Rig 108'!$H:$H)</f>
        <v>0</v>
      </c>
      <c r="AG11" s="38">
        <f>SUMIF('Rig 108'!$B:$B,Lists!$A$6,'Rig 108'!$I:$I)</f>
        <v>0</v>
      </c>
      <c r="AH11" s="38">
        <f>SUMIF('Rig 108'!$B:$B,Lists!$A$7,'Rig 108'!$C:$C)</f>
        <v>313</v>
      </c>
      <c r="AI11" s="38">
        <f>SUMIF('Rig 108'!$B:$B,Lists!$A$7,'Rig 108'!$E:$E)</f>
        <v>0</v>
      </c>
      <c r="AJ11" s="38">
        <f>SUMIF('Rig 108'!$B:$B,Lists!$A$7,'Rig 108'!$F:$F)</f>
        <v>0</v>
      </c>
      <c r="AK11" s="38">
        <f>SUMIF('Rig 108'!$B:$B,Lists!$A$7,'Rig 108'!$G:$G)</f>
        <v>0</v>
      </c>
      <c r="AL11" s="38">
        <f>SUMIF('Rig 108'!$B:$B,Lists!$A$7,'Rig 108'!$H:$H)</f>
        <v>8</v>
      </c>
      <c r="AM11" s="38">
        <f>SUMIF('Rig 108'!$B:$B,Lists!$A$7,'Rig 108'!$I:$I)</f>
        <v>0</v>
      </c>
      <c r="AN11" s="38">
        <f>SUMIF('Rig 108'!$B:$B,Lists!$A$8,'Rig 108'!$C:$C)</f>
        <v>0</v>
      </c>
      <c r="AO11" s="38">
        <f>SUMIF('Rig 108'!$B:$B,Lists!$A$8,'Rig 108'!$E:$E)</f>
        <v>0</v>
      </c>
      <c r="AP11" s="38">
        <f>SUMIF('Rig 108'!$B:$B,Lists!$A$8,'Rig 108'!$F:$F)</f>
        <v>0</v>
      </c>
      <c r="AQ11" s="38">
        <f>SUMIF('Rig 108'!$B:$B,Lists!$A$8,'Rig 108'!$G:$G)</f>
        <v>0</v>
      </c>
      <c r="AR11" s="38">
        <f>SUMIF('Rig 108'!$B:$B,Lists!$A$8,'Rig 108'!$H:$H)</f>
        <v>0</v>
      </c>
      <c r="AS11" s="38">
        <f>SUMIF('Rig 108'!$B:$B,Lists!$A$8,'Rig 108'!$I:$I)</f>
        <v>0</v>
      </c>
      <c r="AT11" s="38">
        <f>SUMIF('Rig 108'!$B:$B,Lists!$A$9,'Rig 108'!$C:$C)</f>
        <v>0</v>
      </c>
      <c r="AU11" s="38">
        <f>SUMIF('Rig 108'!$B:$B,Lists!$A$9,'Rig 108'!$E:$E)</f>
        <v>0</v>
      </c>
      <c r="AV11" s="38">
        <f>SUMIF('Rig 108'!$B:$B,Lists!$A$9,'Rig 108'!$F:$F)</f>
        <v>0</v>
      </c>
      <c r="AW11" s="38">
        <f>SUMIF('Rig 108'!$B:$B,Lists!$A$9,'Rig 108'!$G:$G)</f>
        <v>0</v>
      </c>
      <c r="AX11" s="38">
        <f>SUMIF('Rig 108'!$B:$B,Lists!$A$9,'Rig 108'!$H:$H)</f>
        <v>0</v>
      </c>
      <c r="AY11" s="38">
        <f>SUMIF('Rig 108'!$B:$B,Lists!$A$9,'Rig 108'!$I:$I)</f>
        <v>0</v>
      </c>
      <c r="AZ11" s="38">
        <f>SUMIF('Rig 108'!$B:$B,Lists!$A$10,'Rig 108'!$C:$C)</f>
        <v>0</v>
      </c>
      <c r="BA11" s="38">
        <f>SUMIF('Rig 108'!$B:$B,Lists!$A$10,'Rig 108'!$E:$E)</f>
        <v>0</v>
      </c>
      <c r="BB11" s="38">
        <f>SUMIF('Rig 108'!$B:$B,Lists!$A$10,'Rig 108'!$F:$F)</f>
        <v>0</v>
      </c>
      <c r="BC11" s="38">
        <f>SUMIF('Rig 108'!$B:$B,Lists!$A$10,'Rig 108'!$G:$G)</f>
        <v>0</v>
      </c>
      <c r="BD11" s="38">
        <f>SUMIF('Rig 108'!$B:$B,Lists!$A$10,'Rig 108'!$H:$H)</f>
        <v>0</v>
      </c>
      <c r="BE11" s="38">
        <f>SUMIF('Rig 108'!$B:$B,Lists!$A$10,'Rig 108'!$I:$I)</f>
        <v>0</v>
      </c>
      <c r="BF11" s="38">
        <f>SUMIF('Rig 108'!$B:$B,Lists!$A$11,'Rig 108'!$C:$C)</f>
        <v>313</v>
      </c>
      <c r="BG11" s="38">
        <f>SUMIF('Rig 108'!$B:$B,Lists!$A$11,'Rig 108'!$E:$E)</f>
        <v>0</v>
      </c>
      <c r="BH11" s="38">
        <f>SUMIF('Rig 108'!$B:$B,Lists!$A$11,'Rig 108'!$F:$F)</f>
        <v>0</v>
      </c>
      <c r="BI11" s="38">
        <f>SUMIF('Rig 108'!$B:$B,Lists!$A$11,'Rig 108'!$G:$G)</f>
        <v>0</v>
      </c>
      <c r="BJ11" s="38">
        <f>SUMIF('Rig 108'!$B:$B,Lists!$A$11,'Rig 108'!$H:$H)</f>
        <v>0</v>
      </c>
      <c r="BK11" s="38">
        <f>SUMIF('Rig 108'!$B:$B,Lists!$A$11,'Rig 108'!$I:$I)</f>
        <v>0</v>
      </c>
      <c r="BL11" s="38">
        <f>SUMIF('Rig 108'!$B:$B,Lists!$A$12,'Rig 108'!$C:$C)</f>
        <v>0</v>
      </c>
      <c r="BM11" s="38">
        <f>SUMIF('Rig 108'!$B:$B,Lists!$A$12,'Rig 108'!$E:$E)</f>
        <v>0</v>
      </c>
      <c r="BN11" s="38">
        <f>SUMIF('Rig 108'!$B:$B,Lists!$A$12,'Rig 108'!$F:$F)</f>
        <v>0</v>
      </c>
      <c r="BO11" s="38">
        <f>SUMIF('Rig 108'!$B:$B,Lists!$A$12,'Rig 108'!$G:$G)</f>
        <v>0</v>
      </c>
      <c r="BP11" s="38">
        <f>SUMIF('Rig 108'!$B:$B,Lists!$A$12,'Rig 108'!$H:$H)</f>
        <v>0</v>
      </c>
      <c r="BQ11" s="38">
        <f>SUMIF('Rig 108'!$B:$B,Lists!$A$12,'Rig 108'!$I:$I)</f>
        <v>0</v>
      </c>
      <c r="BR11" s="38">
        <f>SUMIF('Rig 108'!$B:$B,Lists!$A$13,'Rig 108'!$C:$C)</f>
        <v>0</v>
      </c>
      <c r="BS11" s="38">
        <f>SUMIF('Rig 108'!$B:$B,Lists!$A$13,'Rig 108'!$E:$E)</f>
        <v>0</v>
      </c>
      <c r="BT11" s="38">
        <f>SUMIF('Rig 108'!$B:$B,Lists!$A$13,'Rig 108'!$F:$F)</f>
        <v>0</v>
      </c>
      <c r="BU11" s="38">
        <f>SUMIF('Rig 108'!$B:$B,Lists!$A$13,'Rig 108'!$G:$G)</f>
        <v>0</v>
      </c>
      <c r="BV11" s="38">
        <f>SUMIF('Rig 108'!$B:$B,Lists!$A$13,'Rig 108'!$H:$H)</f>
        <v>0</v>
      </c>
      <c r="BW11" s="38">
        <f>SUMIF('Rig 108'!$B:$B,Lists!$A$13,'Rig 108'!$I:$I)</f>
        <v>0</v>
      </c>
      <c r="BX11" s="38">
        <f>SUMIF('Rig 108'!$B:$B,Lists!$A$14,'Rig 108'!$C:$C)</f>
        <v>0</v>
      </c>
      <c r="BY11" s="38">
        <f>SUMIF('Rig 108'!$B:$B,Lists!$A$14,'Rig 108'!$E:$E)</f>
        <v>0</v>
      </c>
      <c r="BZ11" s="38">
        <f>SUMIF('Rig 108'!$B:$B,Lists!$A$14,'Rig 108'!$F:$F)</f>
        <v>0</v>
      </c>
      <c r="CA11" s="38">
        <f>SUMIF('Rig 108'!$B:$B,Lists!$A$14,'Rig 108'!$G:$G)</f>
        <v>0</v>
      </c>
      <c r="CB11" s="38">
        <f>SUMIF('Rig 108'!$B:$B,Lists!$A$14,'Rig 108'!$H:$H)</f>
        <v>0</v>
      </c>
      <c r="CC11" s="38">
        <f>SUMIF('Rig 108'!$B:$B,Lists!$A$14,'Rig 108'!$I:$I)</f>
        <v>0</v>
      </c>
      <c r="CD11" s="38">
        <f>SUMIF('Rig 108'!$B:$B,Lists!$A$15,'Rig 108'!$C:$C)</f>
        <v>0</v>
      </c>
      <c r="CE11" s="38">
        <f>SUMIF('Rig 108'!$B:$B,Lists!$A$15,'Rig 108'!$E:$E)</f>
        <v>0</v>
      </c>
      <c r="CF11" s="38">
        <f>SUMIF('Rig 108'!$B:$B,Lists!$A$15,'Rig 108'!$F:$F)</f>
        <v>0</v>
      </c>
      <c r="CG11" s="38">
        <f>SUMIF('Rig 108'!$B:$B,Lists!$A$15,'Rig 108'!$G:$G)</f>
        <v>0</v>
      </c>
      <c r="CH11" s="38">
        <f>SUMIF('Rig 108'!$B:$B,Lists!$A$15,'Rig 108'!$H:$H)</f>
        <v>0</v>
      </c>
      <c r="CI11" s="38">
        <f>SUMIF('Rig 108'!$B:$B,Lists!$A$15,'Rig 108'!$I:$I)</f>
        <v>0</v>
      </c>
      <c r="CJ11" s="38">
        <f>SUMIF('Rig 108'!$B:$B,Lists!$A$16,'Rig 108'!$C:$C)</f>
        <v>0</v>
      </c>
      <c r="CK11" s="38">
        <f>SUMIF('Rig 108'!$B:$B,Lists!$A$16,'Rig 108'!$E:$E)</f>
        <v>0</v>
      </c>
      <c r="CL11" s="38">
        <f>SUMIF('Rig 108'!$B:$B,Lists!$A$16,'Rig 108'!$F:$F)</f>
        <v>0</v>
      </c>
      <c r="CM11" s="38">
        <f>SUMIF('Rig 108'!$B:$B,Lists!$A$16,'Rig 108'!$G:$G)</f>
        <v>0</v>
      </c>
      <c r="CN11" s="38">
        <f>SUMIF('Rig 108'!$B:$B,Lists!$A$16,'Rig 108'!$H:$H)</f>
        <v>0</v>
      </c>
      <c r="CO11" s="38">
        <f>SUMIF('Rig 108'!$B:$B,Lists!$A$16,'Rig 108'!$I:$I)</f>
        <v>0</v>
      </c>
      <c r="CP11" s="38">
        <f>SUMIF('Rig 108'!$B:$B,Lists!$A$17,'Rig 108'!$C:$C)</f>
        <v>0</v>
      </c>
      <c r="CQ11" s="38">
        <f>SUMIF('Rig 108'!$B:$B,Lists!$A$17,'Rig 108'!$E:$E)</f>
        <v>0</v>
      </c>
      <c r="CR11" s="38">
        <f>SUMIF('Rig 108'!$B:$B,Lists!$A$17,'Rig 108'!$F:$F)</f>
        <v>0</v>
      </c>
      <c r="CS11" s="38">
        <f>SUMIF('Rig 108'!$B:$B,Lists!$A$17,'Rig 108'!$G:$G)</f>
        <v>0</v>
      </c>
      <c r="CT11" s="38">
        <f>SUMIF('Rig 108'!$B:$B,Lists!$A$17,'Rig 108'!$H:$H)</f>
        <v>0</v>
      </c>
      <c r="CU11" s="38">
        <f>SUMIF('Rig 108'!$B:$B,Lists!$A$17,'Rig 108'!$I:$I)</f>
        <v>0</v>
      </c>
      <c r="CV11" s="38">
        <f>SUMIF('Rig 108'!$B:$B,Lists!$A$18,'Rig 108'!$C:$C)</f>
        <v>42</v>
      </c>
      <c r="CW11" s="38">
        <f>SUMIF('Rig 108'!$B:$B,Lists!$A$18,'Rig 108'!$E:$E)</f>
        <v>0</v>
      </c>
      <c r="CX11" s="38">
        <f>SUMIF('Rig 108'!$B:$B,Lists!$A$18,'Rig 108'!$F:$F)</f>
        <v>0</v>
      </c>
      <c r="CY11" s="38">
        <f>SUMIF('Rig 108'!$B:$B,Lists!$A$18,'Rig 108'!$G:$G)</f>
        <v>0</v>
      </c>
      <c r="CZ11" s="38">
        <f>SUMIF('Rig 108'!$B:$B,Lists!$A$18,'Rig 108'!$H:$H)</f>
        <v>3</v>
      </c>
      <c r="DA11" s="38">
        <f>SUMIF('Rig 108'!$B:$B,Lists!$A$18,'Rig 108'!$I:$I)</f>
        <v>0</v>
      </c>
      <c r="DB11" s="38">
        <f>SUMIF('Rig 108'!$B:$B,Lists!$A$19,'Rig 108'!$C:$C)</f>
        <v>42</v>
      </c>
      <c r="DC11" s="38">
        <f>SUMIF('Rig 108'!$B:$B,Lists!$A$19,'Rig 108'!$E:$E)</f>
        <v>0</v>
      </c>
      <c r="DD11" s="38">
        <f>SUMIF('Rig 108'!$B:$B,Lists!$A$19,'Rig 108'!$F:$F)</f>
        <v>0</v>
      </c>
      <c r="DE11" s="38">
        <f>SUMIF('Rig 108'!$B:$B,Lists!$A$19,'Rig 108'!$G:$G)</f>
        <v>0</v>
      </c>
      <c r="DF11" s="38">
        <f>SUMIF('Rig 108'!$B:$B,Lists!$A$19,'Rig 108'!$H:$H)</f>
        <v>4</v>
      </c>
      <c r="DG11" s="38">
        <f>SUMIF('Rig 108'!$B:$B,Lists!$A$19,'Rig 108'!$I:$I)</f>
        <v>0</v>
      </c>
      <c r="DH11" s="38">
        <f>SUMIF('Rig 108'!$B:$B,Lists!$A$20,'Rig 108'!$C:$C)</f>
        <v>0</v>
      </c>
      <c r="DI11" s="38">
        <f>SUMIF('Rig 108'!$B:$B,Lists!$A$20,'Rig 108'!$E:$E)</f>
        <v>0</v>
      </c>
      <c r="DJ11" s="38">
        <f>SUMIF('Rig 108'!$B:$B,Lists!$A$20,'Rig 108'!$F:$F)</f>
        <v>0</v>
      </c>
      <c r="DK11" s="38">
        <f>SUMIF('Rig 108'!$B:$B,Lists!$A$20,'Rig 108'!$G:$G)</f>
        <v>0</v>
      </c>
      <c r="DL11" s="38">
        <f>SUMIF('Rig 108'!$B:$B,Lists!$A$20,'Rig 108'!$H:$H)</f>
        <v>0</v>
      </c>
      <c r="DM11" s="38">
        <f>SUMIF('Rig 108'!$B:$B,Lists!$A$20,'Rig 108'!$I:$I)</f>
        <v>0</v>
      </c>
      <c r="DN11" s="38">
        <f>SUMIF('Rig 108'!$B:$B,Lists!$A$21,'Rig 108'!$C:$C)</f>
        <v>0</v>
      </c>
      <c r="DO11" s="38">
        <f>SUMIF('Rig 108'!$B:$B,Lists!$A$21,'Rig 108'!$E:$E)</f>
        <v>0</v>
      </c>
      <c r="DP11" s="38">
        <f>SUMIF('Rig 108'!$B:$B,Lists!$A$21,'Rig 108'!$F:$F)</f>
        <v>0</v>
      </c>
      <c r="DQ11" s="38">
        <f>SUMIF('Rig 108'!$B:$B,Lists!$A$21,'Rig 108'!$G:$G)</f>
        <v>0</v>
      </c>
      <c r="DR11" s="38">
        <f>SUMIF('Rig 108'!$B:$B,Lists!$A$21,'Rig 108'!$H:$H)</f>
        <v>0</v>
      </c>
      <c r="DS11" s="38">
        <f>SUMIF('Rig 108'!$B:$B,Lists!$A$21,'Rig 108'!$I:$I)</f>
        <v>0</v>
      </c>
      <c r="DT11" s="38">
        <f>SUMIF('Rig 108'!$B:$B,Lists!$A$22,'Rig 108'!$C:$C)</f>
        <v>0</v>
      </c>
      <c r="DU11" s="38">
        <f>SUMIF('Rig 108'!$B:$B,Lists!$A$22,'Rig 108'!$E:$E)</f>
        <v>0</v>
      </c>
      <c r="DV11" s="38">
        <f>SUMIF('Rig 108'!$B:$B,Lists!$A$22,'Rig 108'!$F:$F)</f>
        <v>0</v>
      </c>
      <c r="DW11" s="38">
        <f>SUMIF('Rig 108'!$B:$B,Lists!$A$22,'Rig 108'!$G:$G)</f>
        <v>0</v>
      </c>
      <c r="DX11" s="38">
        <f>SUMIF('Rig 108'!$B:$B,Lists!$A$22,'Rig 108'!$H:$H)</f>
        <v>0</v>
      </c>
      <c r="DY11" s="38">
        <f>SUMIF('Rig 108'!$B:$B,Lists!$A$22,'Rig 108'!$I:$I)</f>
        <v>0</v>
      </c>
      <c r="DZ11" s="38">
        <f>SUMIF('Rig 108'!$B:$B,Lists!$A$23,'Rig 108'!$C:$C)</f>
        <v>0</v>
      </c>
      <c r="EA11" s="38">
        <f>SUMIF('Rig 108'!$B:$B,Lists!$A$23,'Rig 108'!$E:$E)</f>
        <v>0</v>
      </c>
      <c r="EB11" s="38">
        <f>SUMIF('Rig 108'!$B:$B,Lists!$A$23,'Rig 108'!$F:$F)</f>
        <v>0</v>
      </c>
      <c r="EC11" s="38">
        <f>SUMIF('Rig 108'!$B:$B,Lists!$A$23,'Rig 108'!$G:$G)</f>
        <v>0</v>
      </c>
      <c r="ED11" s="38">
        <f>SUMIF('Rig 108'!$B:$B,Lists!$A$23,'Rig 108'!$H:$H)</f>
        <v>0</v>
      </c>
      <c r="EE11" s="38">
        <f>SUMIF('Rig 108'!$B:$B,Lists!$A$23,'Rig 108'!$I:$I)</f>
        <v>0</v>
      </c>
      <c r="EF11" s="38">
        <f>SUMIF('Rig 108'!$B:$B,Lists!$A$24,'Rig 108'!$C:$C)</f>
        <v>30</v>
      </c>
      <c r="EG11" s="38">
        <f>SUMIF('Rig 108'!$B:$B,Lists!$A$24,'Rig 108'!$E:$E)</f>
        <v>0</v>
      </c>
      <c r="EH11" s="38">
        <f>SUMIF('Rig 108'!$B:$B,Lists!$A$24,'Rig 108'!$F:$F)</f>
        <v>0</v>
      </c>
      <c r="EI11" s="38">
        <f>SUMIF('Rig 108'!$B:$B,Lists!$A$24,'Rig 108'!$G:$G)</f>
        <v>0</v>
      </c>
      <c r="EJ11" s="38">
        <f>SUMIF('Rig 108'!$B:$B,Lists!$A$24,'Rig 108'!$H:$H)</f>
        <v>0</v>
      </c>
      <c r="EK11" s="38">
        <f>SUMIF('Rig 108'!$B:$B,Lists!$A$24,'Rig 108'!$I:$I)</f>
        <v>0</v>
      </c>
      <c r="EL11" s="38">
        <f>SUMIF('Rig 108'!$B:$B,Lists!$A$25,'Rig 108'!$C:$C)</f>
        <v>30</v>
      </c>
      <c r="EM11" s="38">
        <f>SUMIF('Rig 108'!$B:$B,Lists!$A$25,'Rig 108'!$E:$E)</f>
        <v>0</v>
      </c>
      <c r="EN11" s="38">
        <f>SUMIF('Rig 108'!$B:$B,Lists!$A$25,'Rig 108'!$F:$F)</f>
        <v>0</v>
      </c>
      <c r="EO11" s="38">
        <f>SUMIF('Rig 108'!$B:$B,Lists!$A$25,'Rig 108'!$G:$G)</f>
        <v>0</v>
      </c>
      <c r="EP11" s="38">
        <f>SUMIF('Rig 108'!$B:$B,Lists!$A$25,'Rig 108'!$H:$H)</f>
        <v>0</v>
      </c>
      <c r="EQ11" s="38">
        <f>SUMIF('Rig 108'!$B:$B,Lists!$A$25,'Rig 108'!$I:$I)</f>
        <v>0</v>
      </c>
      <c r="ER11" s="38">
        <f>SUMIF('Rig 108'!$B:$B,Lists!$A$26,'Rig 108'!$C:$C)</f>
        <v>0</v>
      </c>
      <c r="ES11" s="38">
        <f>SUMIF('Rig 108'!$B:$B,Lists!$A$26,'Rig 108'!$E:$E)</f>
        <v>0</v>
      </c>
      <c r="ET11" s="38">
        <f>SUMIF('Rig 108'!$B:$B,Lists!$A$26,'Rig 108'!$F:$F)</f>
        <v>0</v>
      </c>
      <c r="EU11" s="38">
        <f>SUMIF('Rig 108'!$B:$B,Lists!$A$26,'Rig 108'!$G:$G)</f>
        <v>0</v>
      </c>
      <c r="EV11" s="38">
        <f>SUMIF('Rig 108'!$B:$B,Lists!$A$26,'Rig 108'!$H:$H)</f>
        <v>0</v>
      </c>
      <c r="EW11" s="38">
        <f>SUMIF('Rig 108'!$B:$B,Lists!$A$26,'Rig 108'!$I:$I)</f>
        <v>0</v>
      </c>
      <c r="EX11" s="38">
        <f>SUMIF('Rig 108'!$B:$B,Lists!$A$27,'Rig 108'!$C:$C)</f>
        <v>0</v>
      </c>
      <c r="EY11" s="38">
        <f>SUMIF('Rig 108'!$B:$B,Lists!$A$27,'Rig 108'!$E:$E)</f>
        <v>0</v>
      </c>
      <c r="EZ11" s="38">
        <f>SUMIF('Rig 108'!$B:$B,Lists!$A$27,'Rig 108'!$F:$F)</f>
        <v>0</v>
      </c>
      <c r="FA11" s="38">
        <f>SUMIF('Rig 108'!$B:$B,Lists!$A$27,'Rig 108'!$G:$G)</f>
        <v>0</v>
      </c>
      <c r="FB11" s="38">
        <f>SUMIF('Rig 108'!$B:$B,Lists!$A$27,'Rig 108'!$H:$H)</f>
        <v>0</v>
      </c>
      <c r="FC11" s="38">
        <f>SUMIF('Rig 108'!$B:$B,Lists!$A$27,'Rig 108'!$I:$I)</f>
        <v>0</v>
      </c>
      <c r="FD11" s="38">
        <f>SUMIF('Rig 108'!$B:$B,Lists!$A$28,'Rig 108'!$C:$C)</f>
        <v>0</v>
      </c>
      <c r="FE11" s="38">
        <f>SUMIF('Rig 108'!$B:$B,Lists!$A$28,'Rig 108'!$E:$E)</f>
        <v>0</v>
      </c>
      <c r="FF11" s="38">
        <f>SUMIF('Rig 108'!$B:$B,Lists!$A$28,'Rig 108'!$F:$F)</f>
        <v>0</v>
      </c>
      <c r="FG11" s="38">
        <f>SUMIF('Rig 108'!$B:$B,Lists!$A$28,'Rig 108'!$G:$G)</f>
        <v>0</v>
      </c>
      <c r="FH11" s="38">
        <f>SUMIF('Rig 108'!$B:$B,Lists!$A$28,'Rig 108'!$H:$H)</f>
        <v>0</v>
      </c>
      <c r="FI11" s="38">
        <f>SUMIF('Rig 108'!$B:$B,Lists!$A$28,'Rig 108'!$I:$I)</f>
        <v>0</v>
      </c>
      <c r="FJ11" s="38">
        <f>SUMIF('Rig 108'!$B:$B,Lists!$A$29,'Rig 108'!$C:$C)</f>
        <v>20</v>
      </c>
      <c r="FK11" s="38">
        <f>SUMIF('Rig 108'!$B:$B,Lists!$A$29,'Rig 108'!$E:$E)</f>
        <v>0</v>
      </c>
      <c r="FL11" s="38">
        <f>SUMIF('Rig 108'!$B:$B,Lists!$A$29,'Rig 108'!$F:$F)</f>
        <v>0</v>
      </c>
      <c r="FM11" s="38">
        <f>SUMIF('Rig 108'!$B:$B,Lists!$A$29,'Rig 108'!$G:$G)</f>
        <v>0</v>
      </c>
      <c r="FN11" s="38">
        <f>SUMIF('Rig 108'!$B:$B,Lists!$A$29,'Rig 108'!$H:$H)</f>
        <v>0</v>
      </c>
      <c r="FO11" s="38">
        <f>SUMIF('Rig 108'!$B:$B,Lists!$A$29,'Rig 108'!$I:$I)</f>
        <v>0</v>
      </c>
      <c r="FP11" s="38">
        <f>SUMIF('Rig 108'!$B:$B,Lists!$A$30,'Rig 108'!$C:$C)</f>
        <v>0</v>
      </c>
      <c r="FQ11" s="38">
        <f>SUMIF('Rig 108'!$B:$B,Lists!$A$30,'Rig 108'!$E:$E)</f>
        <v>0</v>
      </c>
      <c r="FR11" s="38">
        <f>SUMIF('Rig 108'!$B:$B,Lists!$A$30,'Rig 108'!$F:$F)</f>
        <v>0</v>
      </c>
      <c r="FS11" s="38">
        <f>SUMIF('Rig 108'!$B:$B,Lists!$A$30,'Rig 108'!$G:$G)</f>
        <v>0</v>
      </c>
      <c r="FT11" s="38">
        <f>SUMIF('Rig 108'!$B:$B,Lists!$A$30,'Rig 108'!$H:$H)</f>
        <v>0</v>
      </c>
      <c r="FU11" s="38">
        <f>SUMIF('Rig 108'!$B:$B,Lists!$A$30,'Rig 108'!$I:$I)</f>
        <v>0</v>
      </c>
      <c r="FV11" s="38">
        <f>SUMIF('Rig 108'!$B:$B,Lists!$A$31,'Rig 108'!$C:$C)</f>
        <v>0</v>
      </c>
      <c r="FW11" s="38">
        <f>SUMIF('Rig 108'!$B:$B,Lists!$A$31,'Rig 108'!$E:$E)</f>
        <v>0</v>
      </c>
      <c r="FX11" s="38">
        <f>SUMIF('Rig 108'!$B:$B,Lists!$A$31,'Rig 108'!$F:$F)</f>
        <v>0</v>
      </c>
      <c r="FY11" s="38">
        <f>SUMIF('Rig 108'!$B:$B,Lists!$A$31,'Rig 108'!$G:$G)</f>
        <v>0</v>
      </c>
      <c r="FZ11" s="38">
        <f>SUMIF('Rig 108'!$B:$B,Lists!$A$31,'Rig 108'!$H:$H)</f>
        <v>0</v>
      </c>
      <c r="GA11" s="38">
        <f>SUMIF('Rig 108'!$B:$B,Lists!$A$31,'Rig 108'!$I:$I)</f>
        <v>0</v>
      </c>
      <c r="GB11" s="38">
        <f>SUMIF('Rig 108'!$B:$B,Lists!$A$32,'Rig 108'!$C:$C)</f>
        <v>0</v>
      </c>
      <c r="GC11" s="38">
        <f>SUMIF('Rig 108'!$B:$B,Lists!$A$32,'Rig 108'!$E:$E)</f>
        <v>0</v>
      </c>
      <c r="GD11" s="38">
        <f>SUMIF('Rig 108'!$B:$B,Lists!$A$32,'Rig 108'!$F:$F)</f>
        <v>0</v>
      </c>
      <c r="GE11" s="38">
        <f>SUMIF('Rig 108'!$B:$B,Lists!$A$32,'Rig 108'!$G:$G)</f>
        <v>0</v>
      </c>
      <c r="GF11" s="38">
        <f>SUMIF('Rig 108'!$B:$B,Lists!$A$32,'Rig 108'!$H:$H)</f>
        <v>0</v>
      </c>
      <c r="GG11" s="38">
        <f>SUMIF('Rig 108'!$B:$B,Lists!$A$32,'Rig 108'!$I:$I)</f>
        <v>0</v>
      </c>
      <c r="GH11" s="38">
        <f>SUMIF('Rig 108'!$B:$B,Lists!$A$33,'Rig 108'!$C:$C)</f>
        <v>0</v>
      </c>
      <c r="GI11" s="38">
        <f>SUMIF('Rig 108'!$B:$B,Lists!$A$33,'Rig 108'!$E:$E)</f>
        <v>0</v>
      </c>
      <c r="GJ11" s="38">
        <f>SUMIF('Rig 108'!$B:$B,Lists!$A$33,'Rig 108'!$F:$F)</f>
        <v>0</v>
      </c>
      <c r="GK11" s="38">
        <f>SUMIF('Rig 108'!$B:$B,Lists!$A$33,'Rig 108'!$G:$G)</f>
        <v>0</v>
      </c>
      <c r="GL11" s="38">
        <f>SUMIF('Rig 108'!$B:$B,Lists!$A$33,'Rig 108'!$H:$H)</f>
        <v>0</v>
      </c>
      <c r="GM11" s="38">
        <f>SUMIF('Rig 108'!$B:$B,Lists!$A$33,'Rig 108'!$I:$I)</f>
        <v>0</v>
      </c>
      <c r="GN11" s="38">
        <f>SUMIF('Rig 108'!$B:$B,Lists!$A$34,'Rig 108'!$C:$C)</f>
        <v>0</v>
      </c>
      <c r="GO11" s="38">
        <f>SUMIF('Rig 108'!$B:$B,Lists!$A$34,'Rig 108'!$E:$E)</f>
        <v>0</v>
      </c>
      <c r="GP11" s="38">
        <f>SUMIF('Rig 108'!$B:$B,Lists!$A$34,'Rig 108'!$F:$F)</f>
        <v>0</v>
      </c>
      <c r="GQ11" s="38">
        <f>SUMIF('Rig 108'!$B:$B,Lists!$A$34,'Rig 108'!$G:$G)</f>
        <v>0</v>
      </c>
      <c r="GR11" s="38">
        <f>SUMIF('Rig 108'!$B:$B,Lists!$A$34,'Rig 108'!$H:$H)</f>
        <v>0</v>
      </c>
      <c r="GS11" s="38">
        <f>SUMIF('Rig 108'!$B:$B,Lists!$A$34,'Rig 108'!$I:$I)</f>
        <v>0</v>
      </c>
      <c r="GT11" s="38">
        <f>SUMIF('Rig 108'!$B:$B,Lists!$A$35,'Rig 108'!$C:$C)</f>
        <v>0</v>
      </c>
      <c r="GU11" s="38">
        <f>SUMIF('Rig 108'!$B:$B,Lists!$A$35,'Rig 108'!$E:$E)</f>
        <v>0</v>
      </c>
      <c r="GV11" s="38">
        <f>SUMIF('Rig 108'!$B:$B,Lists!$A$35,'Rig 108'!$F:$F)</f>
        <v>0</v>
      </c>
      <c r="GW11" s="38">
        <f>SUMIF('Rig 108'!$B:$B,Lists!$A$35,'Rig 108'!$G:$G)</f>
        <v>0</v>
      </c>
      <c r="GX11" s="38">
        <f>SUMIF('Rig 108'!$B:$B,Lists!$A$35,'Rig 108'!$H:$H)</f>
        <v>0</v>
      </c>
      <c r="GY11" s="38">
        <f>SUMIF('Rig 108'!$B:$B,Lists!$A$35,'Rig 108'!$I:$I)</f>
        <v>0</v>
      </c>
      <c r="GZ11" s="38">
        <f>SUMIF('Rig 108'!$B:$B,Lists!$A$36,'Rig 108'!$C:$C)</f>
        <v>0</v>
      </c>
      <c r="HA11" s="38">
        <f>SUMIF('Rig 108'!$B:$B,Lists!$A$36,'Rig 108'!$E:$E)</f>
        <v>0</v>
      </c>
      <c r="HB11" s="38">
        <f>SUMIF('Rig 108'!$B:$B,Lists!$A$36,'Rig 108'!$F:$F)</f>
        <v>0</v>
      </c>
      <c r="HC11" s="38">
        <f>SUMIF('Rig 108'!$B:$B,Lists!$A$36,'Rig 108'!$G:$G)</f>
        <v>0</v>
      </c>
      <c r="HD11" s="38">
        <f>SUMIF('Rig 108'!$B:$B,Lists!$A$36,'Rig 108'!$H:$H)</f>
        <v>0</v>
      </c>
      <c r="HE11" s="38">
        <f>SUMIF('Rig 108'!$B:$B,Lists!$A$36,'Rig 108'!$I:$I)</f>
        <v>0</v>
      </c>
      <c r="HF11" s="38">
        <f>SUMIF('Rig 108'!$B:$B,Lists!$A$37,'Rig 108'!$C:$C)</f>
        <v>0</v>
      </c>
      <c r="HG11" s="38">
        <f>SUMIF('Rig 108'!$B:$B,Lists!$A$37,'Rig 108'!$E:$E)</f>
        <v>0</v>
      </c>
      <c r="HH11" s="38">
        <f>SUMIF('Rig 108'!$B:$B,Lists!$A$37,'Rig 108'!$F:$F)</f>
        <v>0</v>
      </c>
      <c r="HI11" s="38">
        <f>SUMIF('Rig 108'!$B:$B,Lists!$A$37,'Rig 108'!$G:$G)</f>
        <v>0</v>
      </c>
      <c r="HJ11" s="38">
        <f>SUMIF('Rig 108'!$B:$B,Lists!$A$37,'Rig 108'!$H:$H)</f>
        <v>0</v>
      </c>
      <c r="HK11" s="38">
        <f>SUMIF('Rig 108'!$B:$B,Lists!$A$37,'Rig 108'!$I:$I)</f>
        <v>0</v>
      </c>
      <c r="HL11" s="38">
        <f>SUMIF('Rig 108'!$B:$B,Lists!$A$38,'Rig 108'!$C:$C)</f>
        <v>0</v>
      </c>
      <c r="HM11" s="38">
        <f>SUMIF('Rig 108'!$B:$B,Lists!$A$38,'Rig 108'!$E:$E)</f>
        <v>0</v>
      </c>
      <c r="HN11" s="38">
        <f>SUMIF('Rig 108'!$B:$B,Lists!$A$38,'Rig 108'!$F:$F)</f>
        <v>0</v>
      </c>
      <c r="HO11" s="38">
        <f>SUMIF('Rig 108'!$B:$B,Lists!$A$38,'Rig 108'!$G:$G)</f>
        <v>0</v>
      </c>
      <c r="HP11" s="38">
        <f>SUMIF('Rig 108'!$B:$B,Lists!$A$38,'Rig 108'!$H:$H)</f>
        <v>0</v>
      </c>
      <c r="HQ11" s="38">
        <f>SUMIF('Rig 108'!$B:$B,Lists!$A$38,'Rig 108'!$I:$I)</f>
        <v>0</v>
      </c>
      <c r="HR11" s="38">
        <f>SUMIF('Rig 108'!$B:$B,Lists!$A$39,'Rig 108'!$C:$C)</f>
        <v>6</v>
      </c>
      <c r="HS11" s="38">
        <f>SUMIF('Rig 108'!$B:$B,Lists!$A$39,'Rig 108'!$E:$E)</f>
        <v>0</v>
      </c>
      <c r="HT11" s="38">
        <f>SUMIF('Rig 108'!$B:$B,Lists!$A$39,'Rig 108'!$F:$F)</f>
        <v>0</v>
      </c>
      <c r="HU11" s="38">
        <f>SUMIF('Rig 108'!$B:$B,Lists!$A$39,'Rig 108'!$G:$G)</f>
        <v>0</v>
      </c>
      <c r="HV11" s="38">
        <f>SUMIF('Rig 108'!$B:$B,Lists!$A$39,'Rig 108'!$H:$H)</f>
        <v>0</v>
      </c>
      <c r="HW11" s="38">
        <f>SUMIF('Rig 108'!$B:$B,Lists!$A$39,'Rig 108'!$I:$I)</f>
        <v>0</v>
      </c>
      <c r="HX11" s="38">
        <f>SUMIF('Rig 108'!$B:$B,Lists!$A$40,'Rig 108'!$C:$C)</f>
        <v>0</v>
      </c>
      <c r="HY11" s="38">
        <f>SUMIF('Rig 108'!$B:$B,Lists!$A$40,'Rig 108'!$E:$E)</f>
        <v>0</v>
      </c>
      <c r="HZ11" s="38">
        <f>SUMIF('Rig 108'!$B:$B,Lists!$A$40,'Rig 108'!$F:$F)</f>
        <v>0</v>
      </c>
      <c r="IA11" s="38">
        <f>SUMIF('Rig 108'!$B:$B,Lists!$A$40,'Rig 108'!$G:$G)</f>
        <v>0</v>
      </c>
      <c r="IB11" s="38">
        <f>SUMIF('Rig 108'!$B:$B,Lists!$A$40,'Rig 108'!$H:$H)</f>
        <v>0</v>
      </c>
      <c r="IC11" s="38">
        <f>SUMIF('Rig 108'!$B:$B,Lists!$A$40,'Rig 108'!$I:$I)</f>
        <v>0</v>
      </c>
      <c r="ID11" s="38">
        <f>SUMIF('Rig 108'!$B:$B,Lists!$A$41,'Rig 108'!$C:$C)</f>
        <v>0</v>
      </c>
      <c r="IE11" s="38">
        <f>SUMIF('Rig 108'!$B:$B,Lists!$A$41,'Rig 108'!$E:$E)</f>
        <v>0</v>
      </c>
      <c r="IF11" s="38">
        <f>SUMIF('Rig 108'!$B:$B,Lists!$A$41,'Rig 108'!$F:$F)</f>
        <v>0</v>
      </c>
      <c r="IG11" s="38">
        <f>SUMIF('Rig 108'!$B:$B,Lists!$A$41,'Rig 108'!$G:$G)</f>
        <v>0</v>
      </c>
      <c r="IH11" s="38">
        <f>SUMIF('Rig 108'!$B:$B,Lists!$A$41,'Rig 108'!$H:$H)</f>
        <v>0</v>
      </c>
      <c r="II11" s="38">
        <f>SUMIF('Rig 108'!$B:$B,Lists!$A$41,'Rig 108'!$I:$I)</f>
        <v>0</v>
      </c>
    </row>
    <row r="12" spans="1:243" ht="19.5" customHeight="1" x14ac:dyDescent="0.3">
      <c r="A12" s="31" t="s">
        <v>83</v>
      </c>
      <c r="B12" s="32">
        <f>'Rig 109'!D2</f>
        <v>46153</v>
      </c>
      <c r="C12" s="33" t="s">
        <v>77</v>
      </c>
      <c r="D12" s="34">
        <f>SUMIF('Rig 109'!$B:$B,Lists!$A$2,'Rig 109'!$C:$C)</f>
        <v>0</v>
      </c>
      <c r="E12" s="34">
        <f>SUMIF('Rig 109'!$B:$B,Lists!$A$2,'Rig 109'!$E:$E)</f>
        <v>0</v>
      </c>
      <c r="F12" s="34">
        <f>SUMIF('Rig 109'!$B:$B,Lists!$A$2,'Rig 109'!$F:$F)</f>
        <v>0</v>
      </c>
      <c r="G12" s="34">
        <f>SUMIF('Rig 109'!$B:$B,Lists!$A$2,'Rig 109'!$G:$G)</f>
        <v>0</v>
      </c>
      <c r="H12" s="34">
        <f>SUMIF('Rig 109'!$B:$B,Lists!$A$2,'Rig 109'!$H:$H)</f>
        <v>0</v>
      </c>
      <c r="I12" s="34">
        <f>SUMIF('Rig 109'!$B:$B,Lists!$A$2,'Rig 109'!$I:$I)</f>
        <v>0</v>
      </c>
      <c r="J12" s="34">
        <f>SUMIF('Rig 109'!$B:$B,Lists!$A$3,'Rig 109'!$C:$C)</f>
        <v>0</v>
      </c>
      <c r="K12" s="34">
        <f>SUMIF('Rig 109'!$B:$B,Lists!$A$3,'Rig 109'!$E:$E)</f>
        <v>0</v>
      </c>
      <c r="L12" s="34">
        <f>SUMIF('Rig 109'!$B:$B,Lists!$A$3,'Rig 109'!$F:$F)</f>
        <v>0</v>
      </c>
      <c r="M12" s="34">
        <f>SUMIF('Rig 109'!$B:$B,Lists!$A$3,'Rig 109'!$G:$G)</f>
        <v>0</v>
      </c>
      <c r="N12" s="34">
        <f>SUMIF('Rig 109'!$B:$B,Lists!$A$3,'Rig 109'!$H:$H)</f>
        <v>0</v>
      </c>
      <c r="O12" s="34">
        <f>SUMIF('Rig 109'!$B:$B,Lists!$A$3,'Rig 109'!$I:$I)</f>
        <v>0</v>
      </c>
      <c r="P12" s="34">
        <f>SUMIF('Rig 109'!$B:$B,Lists!$A$4,'Rig 109'!$C:$C)</f>
        <v>0</v>
      </c>
      <c r="Q12" s="34">
        <f>SUMIF('Rig 109'!$B:$B,Lists!$A$4,'Rig 109'!$E:$E)</f>
        <v>0</v>
      </c>
      <c r="R12" s="34">
        <f>SUMIF('Rig 109'!$B:$B,Lists!$A$4,'Rig 109'!$F:$F)</f>
        <v>0</v>
      </c>
      <c r="S12" s="34">
        <f>SUMIF('Rig 109'!$B:$B,Lists!$A$4,'Rig 109'!$G:$G)</f>
        <v>0</v>
      </c>
      <c r="T12" s="34">
        <f>SUMIF('Rig 109'!$B:$B,Lists!$A$4,'Rig 109'!$H:$H)</f>
        <v>0</v>
      </c>
      <c r="U12" s="34">
        <f>SUMIF('Rig 109'!$B:$B,Lists!$A$4,'Rig 109'!$I:$I)</f>
        <v>0</v>
      </c>
      <c r="V12" s="34">
        <f>SUMIF('Rig 109'!$B:$B,Lists!$A$5,'Rig 109'!$C:$C)</f>
        <v>0</v>
      </c>
      <c r="W12" s="34">
        <f>SUMIF('Rig 109'!$B:$B,Lists!$A$5,'Rig 109'!$E:$E)</f>
        <v>0</v>
      </c>
      <c r="X12" s="34">
        <f>SUMIF('Rig 109'!$B:$B,Lists!$A$5,'Rig 109'!$F:$F)</f>
        <v>0</v>
      </c>
      <c r="Y12" s="34">
        <f>SUMIF('Rig 109'!$B:$B,Lists!$A$5,'Rig 109'!$G:$G)</f>
        <v>0</v>
      </c>
      <c r="Z12" s="34">
        <f>SUMIF('Rig 109'!$B:$B,Lists!$A$5,'Rig 109'!$H:$H)</f>
        <v>0</v>
      </c>
      <c r="AA12" s="34">
        <f>SUMIF('Rig 109'!$B:$B,Lists!$A$5,'Rig 109'!$I:$I)</f>
        <v>0</v>
      </c>
      <c r="AB12" s="34">
        <f>SUMIF('Rig 109'!$B:$B,Lists!$A$6,'Rig 109'!$C:$C)</f>
        <v>0</v>
      </c>
      <c r="AC12" s="34">
        <f>SUMIF('Rig 109'!$B:$B,Lists!$A$6,'Rig 109'!$E:$E)</f>
        <v>0</v>
      </c>
      <c r="AD12" s="34">
        <f>SUMIF('Rig 109'!$B:$B,Lists!$A$6,'Rig 109'!$F:$F)</f>
        <v>0</v>
      </c>
      <c r="AE12" s="34">
        <f>SUMIF('Rig 109'!$B:$B,Lists!$A$6,'Rig 109'!$G:$G)</f>
        <v>0</v>
      </c>
      <c r="AF12" s="34">
        <f>SUMIF('Rig 109'!$B:$B,Lists!$A$6,'Rig 109'!$H:$H)</f>
        <v>0</v>
      </c>
      <c r="AG12" s="34">
        <f>SUMIF('Rig 109'!$B:$B,Lists!$A$6,'Rig 109'!$I:$I)</f>
        <v>0</v>
      </c>
      <c r="AH12" s="34">
        <f>SUMIF('Rig 109'!$B:$B,Lists!$A$7,'Rig 109'!$C:$C)</f>
        <v>313</v>
      </c>
      <c r="AI12" s="34">
        <f>SUMIF('Rig 109'!$B:$B,Lists!$A$7,'Rig 109'!$E:$E)</f>
        <v>211</v>
      </c>
      <c r="AJ12" s="34">
        <f>SUMIF('Rig 109'!$B:$B,Lists!$A$7,'Rig 109'!$F:$F)</f>
        <v>0</v>
      </c>
      <c r="AK12" s="34">
        <f>SUMIF('Rig 109'!$B:$B,Lists!$A$7,'Rig 109'!$G:$G)</f>
        <v>0</v>
      </c>
      <c r="AL12" s="34">
        <f>SUMIF('Rig 109'!$B:$B,Lists!$A$7,'Rig 109'!$H:$H)</f>
        <v>0</v>
      </c>
      <c r="AM12" s="34">
        <f>SUMIF('Rig 109'!$B:$B,Lists!$A$7,'Rig 109'!$I:$I)</f>
        <v>0</v>
      </c>
      <c r="AN12" s="34">
        <f>SUMIF('Rig 109'!$B:$B,Lists!$A$8,'Rig 109'!$C:$C)</f>
        <v>0</v>
      </c>
      <c r="AO12" s="34">
        <f>SUMIF('Rig 109'!$B:$B,Lists!$A$8,'Rig 109'!$E:$E)</f>
        <v>0</v>
      </c>
      <c r="AP12" s="34">
        <f>SUMIF('Rig 109'!$B:$B,Lists!$A$8,'Rig 109'!$F:$F)</f>
        <v>0</v>
      </c>
      <c r="AQ12" s="34">
        <f>SUMIF('Rig 109'!$B:$B,Lists!$A$8,'Rig 109'!$G:$G)</f>
        <v>0</v>
      </c>
      <c r="AR12" s="34">
        <f>SUMIF('Rig 109'!$B:$B,Lists!$A$8,'Rig 109'!$H:$H)</f>
        <v>0</v>
      </c>
      <c r="AS12" s="34">
        <f>SUMIF('Rig 109'!$B:$B,Lists!$A$8,'Rig 109'!$I:$I)</f>
        <v>0</v>
      </c>
      <c r="AT12" s="34">
        <f>SUMIF('Rig 109'!$B:$B,Lists!$A$9,'Rig 109'!$C:$C)</f>
        <v>0</v>
      </c>
      <c r="AU12" s="34">
        <f>SUMIF('Rig 109'!$B:$B,Lists!$A$9,'Rig 109'!$E:$E)</f>
        <v>0</v>
      </c>
      <c r="AV12" s="34">
        <f>SUMIF('Rig 109'!$B:$B,Lists!$A$9,'Rig 109'!$F:$F)</f>
        <v>0</v>
      </c>
      <c r="AW12" s="34">
        <f>SUMIF('Rig 109'!$B:$B,Lists!$A$9,'Rig 109'!$G:$G)</f>
        <v>0</v>
      </c>
      <c r="AX12" s="34">
        <f>SUMIF('Rig 109'!$B:$B,Lists!$A$9,'Rig 109'!$H:$H)</f>
        <v>0</v>
      </c>
      <c r="AY12" s="34">
        <f>SUMIF('Rig 109'!$B:$B,Lists!$A$9,'Rig 109'!$I:$I)</f>
        <v>0</v>
      </c>
      <c r="AZ12" s="34">
        <f>SUMIF('Rig 109'!$B:$B,Lists!$A$10,'Rig 109'!$C:$C)</f>
        <v>0</v>
      </c>
      <c r="BA12" s="34">
        <f>SUMIF('Rig 109'!$B:$B,Lists!$A$10,'Rig 109'!$E:$E)</f>
        <v>0</v>
      </c>
      <c r="BB12" s="34">
        <f>SUMIF('Rig 109'!$B:$B,Lists!$A$10,'Rig 109'!$F:$F)</f>
        <v>0</v>
      </c>
      <c r="BC12" s="34">
        <f>SUMIF('Rig 109'!$B:$B,Lists!$A$10,'Rig 109'!$G:$G)</f>
        <v>0</v>
      </c>
      <c r="BD12" s="34">
        <f>SUMIF('Rig 109'!$B:$B,Lists!$A$10,'Rig 109'!$H:$H)</f>
        <v>0</v>
      </c>
      <c r="BE12" s="34">
        <f>SUMIF('Rig 109'!$B:$B,Lists!$A$10,'Rig 109'!$I:$I)</f>
        <v>0</v>
      </c>
      <c r="BF12" s="34">
        <f>SUMIF('Rig 109'!$B:$B,Lists!$A$11,'Rig 109'!$C:$C)</f>
        <v>313</v>
      </c>
      <c r="BG12" s="34">
        <f>SUMIF('Rig 109'!$B:$B,Lists!$A$11,'Rig 109'!$E:$E)</f>
        <v>249</v>
      </c>
      <c r="BH12" s="34">
        <f>SUMIF('Rig 109'!$B:$B,Lists!$A$11,'Rig 109'!$F:$F)</f>
        <v>0</v>
      </c>
      <c r="BI12" s="34">
        <f>SUMIF('Rig 109'!$B:$B,Lists!$A$11,'Rig 109'!$G:$G)</f>
        <v>0</v>
      </c>
      <c r="BJ12" s="34">
        <f>SUMIF('Rig 109'!$B:$B,Lists!$A$11,'Rig 109'!$H:$H)</f>
        <v>0</v>
      </c>
      <c r="BK12" s="34">
        <f>SUMIF('Rig 109'!$B:$B,Lists!$A$11,'Rig 109'!$I:$I)</f>
        <v>0</v>
      </c>
      <c r="BL12" s="34">
        <f>SUMIF('Rig 109'!$B:$B,Lists!$A$12,'Rig 109'!$C:$C)</f>
        <v>0</v>
      </c>
      <c r="BM12" s="34">
        <f>SUMIF('Rig 109'!$B:$B,Lists!$A$12,'Rig 109'!$E:$E)</f>
        <v>0</v>
      </c>
      <c r="BN12" s="34">
        <f>SUMIF('Rig 109'!$B:$B,Lists!$A$12,'Rig 109'!$F:$F)</f>
        <v>0</v>
      </c>
      <c r="BO12" s="34">
        <f>SUMIF('Rig 109'!$B:$B,Lists!$A$12,'Rig 109'!$G:$G)</f>
        <v>0</v>
      </c>
      <c r="BP12" s="34">
        <f>SUMIF('Rig 109'!$B:$B,Lists!$A$12,'Rig 109'!$H:$H)</f>
        <v>0</v>
      </c>
      <c r="BQ12" s="34">
        <f>SUMIF('Rig 109'!$B:$B,Lists!$A$12,'Rig 109'!$I:$I)</f>
        <v>0</v>
      </c>
      <c r="BR12" s="34">
        <f>SUMIF('Rig 109'!$B:$B,Lists!$A$13,'Rig 109'!$C:$C)</f>
        <v>0</v>
      </c>
      <c r="BS12" s="34">
        <f>SUMIF('Rig 109'!$B:$B,Lists!$A$13,'Rig 109'!$E:$E)</f>
        <v>0</v>
      </c>
      <c r="BT12" s="34">
        <f>SUMIF('Rig 109'!$B:$B,Lists!$A$13,'Rig 109'!$F:$F)</f>
        <v>0</v>
      </c>
      <c r="BU12" s="34">
        <f>SUMIF('Rig 109'!$B:$B,Lists!$A$13,'Rig 109'!$G:$G)</f>
        <v>0</v>
      </c>
      <c r="BV12" s="34">
        <f>SUMIF('Rig 109'!$B:$B,Lists!$A$13,'Rig 109'!$H:$H)</f>
        <v>0</v>
      </c>
      <c r="BW12" s="34">
        <f>SUMIF('Rig 109'!$B:$B,Lists!$A$13,'Rig 109'!$I:$I)</f>
        <v>0</v>
      </c>
      <c r="BX12" s="34">
        <f>SUMIF('Rig 109'!$B:$B,Lists!$A$14,'Rig 109'!$C:$C)</f>
        <v>0</v>
      </c>
      <c r="BY12" s="34">
        <f>SUMIF('Rig 109'!$B:$B,Lists!$A$14,'Rig 109'!$E:$E)</f>
        <v>0</v>
      </c>
      <c r="BZ12" s="34">
        <f>SUMIF('Rig 109'!$B:$B,Lists!$A$14,'Rig 109'!$F:$F)</f>
        <v>0</v>
      </c>
      <c r="CA12" s="34">
        <f>SUMIF('Rig 109'!$B:$B,Lists!$A$14,'Rig 109'!$G:$G)</f>
        <v>0</v>
      </c>
      <c r="CB12" s="34">
        <f>SUMIF('Rig 109'!$B:$B,Lists!$A$14,'Rig 109'!$H:$H)</f>
        <v>0</v>
      </c>
      <c r="CC12" s="34">
        <f>SUMIF('Rig 109'!$B:$B,Lists!$A$14,'Rig 109'!$I:$I)</f>
        <v>0</v>
      </c>
      <c r="CD12" s="34">
        <f>SUMIF('Rig 109'!$B:$B,Lists!$A$15,'Rig 109'!$C:$C)</f>
        <v>0</v>
      </c>
      <c r="CE12" s="34">
        <f>SUMIF('Rig 109'!$B:$B,Lists!$A$15,'Rig 109'!$E:$E)</f>
        <v>0</v>
      </c>
      <c r="CF12" s="34">
        <f>SUMIF('Rig 109'!$B:$B,Lists!$A$15,'Rig 109'!$F:$F)</f>
        <v>0</v>
      </c>
      <c r="CG12" s="34">
        <f>SUMIF('Rig 109'!$B:$B,Lists!$A$15,'Rig 109'!$G:$G)</f>
        <v>0</v>
      </c>
      <c r="CH12" s="34">
        <f>SUMIF('Rig 109'!$B:$B,Lists!$A$15,'Rig 109'!$H:$H)</f>
        <v>0</v>
      </c>
      <c r="CI12" s="34">
        <f>SUMIF('Rig 109'!$B:$B,Lists!$A$15,'Rig 109'!$I:$I)</f>
        <v>0</v>
      </c>
      <c r="CJ12" s="34">
        <f>SUMIF('Rig 109'!$B:$B,Lists!$A$16,'Rig 109'!$C:$C)</f>
        <v>0</v>
      </c>
      <c r="CK12" s="34">
        <f>SUMIF('Rig 109'!$B:$B,Lists!$A$16,'Rig 109'!$E:$E)</f>
        <v>0</v>
      </c>
      <c r="CL12" s="34">
        <f>SUMIF('Rig 109'!$B:$B,Lists!$A$16,'Rig 109'!$F:$F)</f>
        <v>0</v>
      </c>
      <c r="CM12" s="34">
        <f>SUMIF('Rig 109'!$B:$B,Lists!$A$16,'Rig 109'!$G:$G)</f>
        <v>0</v>
      </c>
      <c r="CN12" s="34">
        <f>SUMIF('Rig 109'!$B:$B,Lists!$A$16,'Rig 109'!$H:$H)</f>
        <v>0</v>
      </c>
      <c r="CO12" s="34">
        <f>SUMIF('Rig 109'!$B:$B,Lists!$A$16,'Rig 109'!$I:$I)</f>
        <v>0</v>
      </c>
      <c r="CP12" s="34">
        <f>SUMIF('Rig 109'!$B:$B,Lists!$A$17,'Rig 109'!$C:$C)</f>
        <v>0</v>
      </c>
      <c r="CQ12" s="34">
        <f>SUMIF('Rig 109'!$B:$B,Lists!$A$17,'Rig 109'!$E:$E)</f>
        <v>0</v>
      </c>
      <c r="CR12" s="34">
        <f>SUMIF('Rig 109'!$B:$B,Lists!$A$17,'Rig 109'!$F:$F)</f>
        <v>0</v>
      </c>
      <c r="CS12" s="34">
        <f>SUMIF('Rig 109'!$B:$B,Lists!$A$17,'Rig 109'!$G:$G)</f>
        <v>0</v>
      </c>
      <c r="CT12" s="34">
        <f>SUMIF('Rig 109'!$B:$B,Lists!$A$17,'Rig 109'!$H:$H)</f>
        <v>0</v>
      </c>
      <c r="CU12" s="34">
        <f>SUMIF('Rig 109'!$B:$B,Lists!$A$17,'Rig 109'!$I:$I)</f>
        <v>0</v>
      </c>
      <c r="CV12" s="34">
        <f>SUMIF('Rig 109'!$B:$B,Lists!$A$18,'Rig 109'!$C:$C)</f>
        <v>42</v>
      </c>
      <c r="CW12" s="34">
        <f>SUMIF('Rig 109'!$B:$B,Lists!$A$18,'Rig 109'!$E:$E)</f>
        <v>31</v>
      </c>
      <c r="CX12" s="34">
        <f>SUMIF('Rig 109'!$B:$B,Lists!$A$18,'Rig 109'!$F:$F)</f>
        <v>0</v>
      </c>
      <c r="CY12" s="34">
        <f>SUMIF('Rig 109'!$B:$B,Lists!$A$18,'Rig 109'!$G:$G)</f>
        <v>0</v>
      </c>
      <c r="CZ12" s="34">
        <f>SUMIF('Rig 109'!$B:$B,Lists!$A$18,'Rig 109'!$H:$H)</f>
        <v>0</v>
      </c>
      <c r="DA12" s="34">
        <f>SUMIF('Rig 109'!$B:$B,Lists!$A$18,'Rig 109'!$I:$I)</f>
        <v>0</v>
      </c>
      <c r="DB12" s="34">
        <f>SUMIF('Rig 109'!$B:$B,Lists!$A$19,'Rig 109'!$C:$C)</f>
        <v>42</v>
      </c>
      <c r="DC12" s="34">
        <f>SUMIF('Rig 109'!$B:$B,Lists!$A$19,'Rig 109'!$E:$E)</f>
        <v>41</v>
      </c>
      <c r="DD12" s="34">
        <f>SUMIF('Rig 109'!$B:$B,Lists!$A$19,'Rig 109'!$F:$F)</f>
        <v>0</v>
      </c>
      <c r="DE12" s="34">
        <f>SUMIF('Rig 109'!$B:$B,Lists!$A$19,'Rig 109'!$G:$G)</f>
        <v>0</v>
      </c>
      <c r="DF12" s="34">
        <f>SUMIF('Rig 109'!$B:$B,Lists!$A$19,'Rig 109'!$H:$H)</f>
        <v>0</v>
      </c>
      <c r="DG12" s="34">
        <f>SUMIF('Rig 109'!$B:$B,Lists!$A$19,'Rig 109'!$I:$I)</f>
        <v>0</v>
      </c>
      <c r="DH12" s="34">
        <f>SUMIF('Rig 109'!$B:$B,Lists!$A$20,'Rig 109'!$C:$C)</f>
        <v>0</v>
      </c>
      <c r="DI12" s="34">
        <f>SUMIF('Rig 109'!$B:$B,Lists!$A$20,'Rig 109'!$E:$E)</f>
        <v>0</v>
      </c>
      <c r="DJ12" s="34">
        <f>SUMIF('Rig 109'!$B:$B,Lists!$A$20,'Rig 109'!$F:$F)</f>
        <v>0</v>
      </c>
      <c r="DK12" s="34">
        <f>SUMIF('Rig 109'!$B:$B,Lists!$A$20,'Rig 109'!$G:$G)</f>
        <v>0</v>
      </c>
      <c r="DL12" s="34">
        <f>SUMIF('Rig 109'!$B:$B,Lists!$A$20,'Rig 109'!$H:$H)</f>
        <v>0</v>
      </c>
      <c r="DM12" s="34">
        <f>SUMIF('Rig 109'!$B:$B,Lists!$A$20,'Rig 109'!$I:$I)</f>
        <v>0</v>
      </c>
      <c r="DN12" s="34">
        <f>SUMIF('Rig 109'!$B:$B,Lists!$A$21,'Rig 109'!$C:$C)</f>
        <v>0</v>
      </c>
      <c r="DO12" s="34">
        <f>SUMIF('Rig 109'!$B:$B,Lists!$A$21,'Rig 109'!$E:$E)</f>
        <v>0</v>
      </c>
      <c r="DP12" s="34">
        <f>SUMIF('Rig 109'!$B:$B,Lists!$A$21,'Rig 109'!$F:$F)</f>
        <v>0</v>
      </c>
      <c r="DQ12" s="34">
        <f>SUMIF('Rig 109'!$B:$B,Lists!$A$21,'Rig 109'!$G:$G)</f>
        <v>0</v>
      </c>
      <c r="DR12" s="34">
        <f>SUMIF('Rig 109'!$B:$B,Lists!$A$21,'Rig 109'!$H:$H)</f>
        <v>0</v>
      </c>
      <c r="DS12" s="34">
        <f>SUMIF('Rig 109'!$B:$B,Lists!$A$21,'Rig 109'!$I:$I)</f>
        <v>0</v>
      </c>
      <c r="DT12" s="34">
        <f>SUMIF('Rig 109'!$B:$B,Lists!$A$22,'Rig 109'!$C:$C)</f>
        <v>0</v>
      </c>
      <c r="DU12" s="34">
        <f>SUMIF('Rig 109'!$B:$B,Lists!$A$22,'Rig 109'!$E:$E)</f>
        <v>0</v>
      </c>
      <c r="DV12" s="34">
        <f>SUMIF('Rig 109'!$B:$B,Lists!$A$22,'Rig 109'!$F:$F)</f>
        <v>0</v>
      </c>
      <c r="DW12" s="34">
        <f>SUMIF('Rig 109'!$B:$B,Lists!$A$22,'Rig 109'!$G:$G)</f>
        <v>0</v>
      </c>
      <c r="DX12" s="34">
        <f>SUMIF('Rig 109'!$B:$B,Lists!$A$22,'Rig 109'!$H:$H)</f>
        <v>0</v>
      </c>
      <c r="DY12" s="34">
        <f>SUMIF('Rig 109'!$B:$B,Lists!$A$22,'Rig 109'!$I:$I)</f>
        <v>0</v>
      </c>
      <c r="DZ12" s="34">
        <f>SUMIF('Rig 109'!$B:$B,Lists!$A$23,'Rig 109'!$C:$C)</f>
        <v>0</v>
      </c>
      <c r="EA12" s="34">
        <f>SUMIF('Rig 109'!$B:$B,Lists!$A$23,'Rig 109'!$E:$E)</f>
        <v>0</v>
      </c>
      <c r="EB12" s="34">
        <f>SUMIF('Rig 109'!$B:$B,Lists!$A$23,'Rig 109'!$F:$F)</f>
        <v>0</v>
      </c>
      <c r="EC12" s="34">
        <f>SUMIF('Rig 109'!$B:$B,Lists!$A$23,'Rig 109'!$G:$G)</f>
        <v>0</v>
      </c>
      <c r="ED12" s="34">
        <f>SUMIF('Rig 109'!$B:$B,Lists!$A$23,'Rig 109'!$H:$H)</f>
        <v>0</v>
      </c>
      <c r="EE12" s="34">
        <f>SUMIF('Rig 109'!$B:$B,Lists!$A$23,'Rig 109'!$I:$I)</f>
        <v>0</v>
      </c>
      <c r="EF12" s="34">
        <f>SUMIF('Rig 109'!$B:$B,Lists!$A$24,'Rig 109'!$C:$C)</f>
        <v>30</v>
      </c>
      <c r="EG12" s="34">
        <f>SUMIF('Rig 109'!$B:$B,Lists!$A$24,'Rig 109'!$E:$E)</f>
        <v>25</v>
      </c>
      <c r="EH12" s="34">
        <f>SUMIF('Rig 109'!$B:$B,Lists!$A$24,'Rig 109'!$F:$F)</f>
        <v>0</v>
      </c>
      <c r="EI12" s="34">
        <f>SUMIF('Rig 109'!$B:$B,Lists!$A$24,'Rig 109'!$G:$G)</f>
        <v>0</v>
      </c>
      <c r="EJ12" s="34">
        <f>SUMIF('Rig 109'!$B:$B,Lists!$A$24,'Rig 109'!$H:$H)</f>
        <v>0</v>
      </c>
      <c r="EK12" s="34">
        <f>SUMIF('Rig 109'!$B:$B,Lists!$A$24,'Rig 109'!$I:$I)</f>
        <v>0</v>
      </c>
      <c r="EL12" s="34">
        <f>SUMIF('Rig 109'!$B:$B,Lists!$A$25,'Rig 109'!$C:$C)</f>
        <v>30</v>
      </c>
      <c r="EM12" s="34">
        <f>SUMIF('Rig 109'!$B:$B,Lists!$A$25,'Rig 109'!$E:$E)</f>
        <v>17</v>
      </c>
      <c r="EN12" s="34">
        <f>SUMIF('Rig 109'!$B:$B,Lists!$A$25,'Rig 109'!$F:$F)</f>
        <v>0</v>
      </c>
      <c r="EO12" s="34">
        <f>SUMIF('Rig 109'!$B:$B,Lists!$A$25,'Rig 109'!$G:$G)</f>
        <v>0</v>
      </c>
      <c r="EP12" s="34">
        <f>SUMIF('Rig 109'!$B:$B,Lists!$A$25,'Rig 109'!$H:$H)</f>
        <v>0</v>
      </c>
      <c r="EQ12" s="34">
        <f>SUMIF('Rig 109'!$B:$B,Lists!$A$25,'Rig 109'!$I:$I)</f>
        <v>0</v>
      </c>
      <c r="ER12" s="34">
        <f>SUMIF('Rig 109'!$B:$B,Lists!$A$26,'Rig 109'!$C:$C)</f>
        <v>0</v>
      </c>
      <c r="ES12" s="34">
        <f>SUMIF('Rig 109'!$B:$B,Lists!$A$26,'Rig 109'!$E:$E)</f>
        <v>0</v>
      </c>
      <c r="ET12" s="34">
        <f>SUMIF('Rig 109'!$B:$B,Lists!$A$26,'Rig 109'!$F:$F)</f>
        <v>0</v>
      </c>
      <c r="EU12" s="34">
        <f>SUMIF('Rig 109'!$B:$B,Lists!$A$26,'Rig 109'!$G:$G)</f>
        <v>0</v>
      </c>
      <c r="EV12" s="34">
        <f>SUMIF('Rig 109'!$B:$B,Lists!$A$26,'Rig 109'!$H:$H)</f>
        <v>0</v>
      </c>
      <c r="EW12" s="34">
        <f>SUMIF('Rig 109'!$B:$B,Lists!$A$26,'Rig 109'!$I:$I)</f>
        <v>0</v>
      </c>
      <c r="EX12" s="34">
        <f>SUMIF('Rig 109'!$B:$B,Lists!$A$27,'Rig 109'!$C:$C)</f>
        <v>0</v>
      </c>
      <c r="EY12" s="34">
        <f>SUMIF('Rig 109'!$B:$B,Lists!$A$27,'Rig 109'!$E:$E)</f>
        <v>0</v>
      </c>
      <c r="EZ12" s="34">
        <f>SUMIF('Rig 109'!$B:$B,Lists!$A$27,'Rig 109'!$F:$F)</f>
        <v>0</v>
      </c>
      <c r="FA12" s="34">
        <f>SUMIF('Rig 109'!$B:$B,Lists!$A$27,'Rig 109'!$G:$G)</f>
        <v>0</v>
      </c>
      <c r="FB12" s="34">
        <f>SUMIF('Rig 109'!$B:$B,Lists!$A$27,'Rig 109'!$H:$H)</f>
        <v>0</v>
      </c>
      <c r="FC12" s="34">
        <f>SUMIF('Rig 109'!$B:$B,Lists!$A$27,'Rig 109'!$I:$I)</f>
        <v>0</v>
      </c>
      <c r="FD12" s="34">
        <f>SUMIF('Rig 109'!$B:$B,Lists!$A$28,'Rig 109'!$C:$C)</f>
        <v>0</v>
      </c>
      <c r="FE12" s="34">
        <f>SUMIF('Rig 109'!$B:$B,Lists!$A$28,'Rig 109'!$E:$E)</f>
        <v>0</v>
      </c>
      <c r="FF12" s="34">
        <f>SUMIF('Rig 109'!$B:$B,Lists!$A$28,'Rig 109'!$F:$F)</f>
        <v>0</v>
      </c>
      <c r="FG12" s="34">
        <f>SUMIF('Rig 109'!$B:$B,Lists!$A$28,'Rig 109'!$G:$G)</f>
        <v>0</v>
      </c>
      <c r="FH12" s="34">
        <f>SUMIF('Rig 109'!$B:$B,Lists!$A$28,'Rig 109'!$H:$H)</f>
        <v>0</v>
      </c>
      <c r="FI12" s="34">
        <f>SUMIF('Rig 109'!$B:$B,Lists!$A$28,'Rig 109'!$I:$I)</f>
        <v>0</v>
      </c>
      <c r="FJ12" s="34">
        <f>SUMIF('Rig 109'!$B:$B,Lists!$A$29,'Rig 109'!$C:$C)</f>
        <v>20</v>
      </c>
      <c r="FK12" s="34">
        <f>SUMIF('Rig 109'!$B:$B,Lists!$A$29,'Rig 109'!$E:$E)</f>
        <v>20</v>
      </c>
      <c r="FL12" s="34">
        <f>SUMIF('Rig 109'!$B:$B,Lists!$A$29,'Rig 109'!$F:$F)</f>
        <v>0</v>
      </c>
      <c r="FM12" s="34">
        <f>SUMIF('Rig 109'!$B:$B,Lists!$A$29,'Rig 109'!$G:$G)</f>
        <v>0</v>
      </c>
      <c r="FN12" s="34">
        <f>SUMIF('Rig 109'!$B:$B,Lists!$A$29,'Rig 109'!$H:$H)</f>
        <v>0</v>
      </c>
      <c r="FO12" s="34">
        <f>SUMIF('Rig 109'!$B:$B,Lists!$A$29,'Rig 109'!$I:$I)</f>
        <v>0</v>
      </c>
      <c r="FP12" s="34">
        <f>SUMIF('Rig 109'!$B:$B,Lists!$A$30,'Rig 109'!$C:$C)</f>
        <v>0</v>
      </c>
      <c r="FQ12" s="34">
        <f>SUMIF('Rig 109'!$B:$B,Lists!$A$30,'Rig 109'!$E:$E)</f>
        <v>0</v>
      </c>
      <c r="FR12" s="34">
        <f>SUMIF('Rig 109'!$B:$B,Lists!$A$30,'Rig 109'!$F:$F)</f>
        <v>0</v>
      </c>
      <c r="FS12" s="34">
        <f>SUMIF('Rig 109'!$B:$B,Lists!$A$30,'Rig 109'!$G:$G)</f>
        <v>0</v>
      </c>
      <c r="FT12" s="34">
        <f>SUMIF('Rig 109'!$B:$B,Lists!$A$30,'Rig 109'!$H:$H)</f>
        <v>0</v>
      </c>
      <c r="FU12" s="34">
        <f>SUMIF('Rig 109'!$B:$B,Lists!$A$30,'Rig 109'!$I:$I)</f>
        <v>0</v>
      </c>
      <c r="FV12" s="34">
        <f>SUMIF('Rig 109'!$B:$B,Lists!$A$31,'Rig 109'!$C:$C)</f>
        <v>0</v>
      </c>
      <c r="FW12" s="34">
        <f>SUMIF('Rig 109'!$B:$B,Lists!$A$31,'Rig 109'!$E:$E)</f>
        <v>0</v>
      </c>
      <c r="FX12" s="34">
        <f>SUMIF('Rig 109'!$B:$B,Lists!$A$31,'Rig 109'!$F:$F)</f>
        <v>0</v>
      </c>
      <c r="FY12" s="34">
        <f>SUMIF('Rig 109'!$B:$B,Lists!$A$31,'Rig 109'!$G:$G)</f>
        <v>0</v>
      </c>
      <c r="FZ12" s="34">
        <f>SUMIF('Rig 109'!$B:$B,Lists!$A$31,'Rig 109'!$H:$H)</f>
        <v>0</v>
      </c>
      <c r="GA12" s="34">
        <f>SUMIF('Rig 109'!$B:$B,Lists!$A$31,'Rig 109'!$I:$I)</f>
        <v>0</v>
      </c>
      <c r="GB12" s="34">
        <f>SUMIF('Rig 109'!$B:$B,Lists!$A$32,'Rig 109'!$C:$C)</f>
        <v>0</v>
      </c>
      <c r="GC12" s="34">
        <f>SUMIF('Rig 109'!$B:$B,Lists!$A$32,'Rig 109'!$E:$E)</f>
        <v>0</v>
      </c>
      <c r="GD12" s="34">
        <f>SUMIF('Rig 109'!$B:$B,Lists!$A$32,'Rig 109'!$F:$F)</f>
        <v>0</v>
      </c>
      <c r="GE12" s="34">
        <f>SUMIF('Rig 109'!$B:$B,Lists!$A$32,'Rig 109'!$G:$G)</f>
        <v>0</v>
      </c>
      <c r="GF12" s="34">
        <f>SUMIF('Rig 109'!$B:$B,Lists!$A$32,'Rig 109'!$H:$H)</f>
        <v>0</v>
      </c>
      <c r="GG12" s="34">
        <f>SUMIF('Rig 109'!$B:$B,Lists!$A$32,'Rig 109'!$I:$I)</f>
        <v>0</v>
      </c>
      <c r="GH12" s="34">
        <f>SUMIF('Rig 109'!$B:$B,Lists!$A$33,'Rig 109'!$C:$C)</f>
        <v>0</v>
      </c>
      <c r="GI12" s="34">
        <f>SUMIF('Rig 109'!$B:$B,Lists!$A$33,'Rig 109'!$E:$E)</f>
        <v>0</v>
      </c>
      <c r="GJ12" s="34">
        <f>SUMIF('Rig 109'!$B:$B,Lists!$A$33,'Rig 109'!$F:$F)</f>
        <v>0</v>
      </c>
      <c r="GK12" s="34">
        <f>SUMIF('Rig 109'!$B:$B,Lists!$A$33,'Rig 109'!$G:$G)</f>
        <v>0</v>
      </c>
      <c r="GL12" s="34">
        <f>SUMIF('Rig 109'!$B:$B,Lists!$A$33,'Rig 109'!$H:$H)</f>
        <v>0</v>
      </c>
      <c r="GM12" s="34">
        <f>SUMIF('Rig 109'!$B:$B,Lists!$A$33,'Rig 109'!$I:$I)</f>
        <v>0</v>
      </c>
      <c r="GN12" s="34">
        <f>SUMIF('Rig 109'!$B:$B,Lists!$A$34,'Rig 109'!$C:$C)</f>
        <v>0</v>
      </c>
      <c r="GO12" s="34">
        <f>SUMIF('Rig 109'!$B:$B,Lists!$A$34,'Rig 109'!$E:$E)</f>
        <v>0</v>
      </c>
      <c r="GP12" s="34">
        <f>SUMIF('Rig 109'!$B:$B,Lists!$A$34,'Rig 109'!$F:$F)</f>
        <v>0</v>
      </c>
      <c r="GQ12" s="34">
        <f>SUMIF('Rig 109'!$B:$B,Lists!$A$34,'Rig 109'!$G:$G)</f>
        <v>0</v>
      </c>
      <c r="GR12" s="34">
        <f>SUMIF('Rig 109'!$B:$B,Lists!$A$34,'Rig 109'!$H:$H)</f>
        <v>0</v>
      </c>
      <c r="GS12" s="34">
        <f>SUMIF('Rig 109'!$B:$B,Lists!$A$34,'Rig 109'!$I:$I)</f>
        <v>0</v>
      </c>
      <c r="GT12" s="34">
        <f>SUMIF('Rig 109'!$B:$B,Lists!$A$35,'Rig 109'!$C:$C)</f>
        <v>0</v>
      </c>
      <c r="GU12" s="34">
        <f>SUMIF('Rig 109'!$B:$B,Lists!$A$35,'Rig 109'!$E:$E)</f>
        <v>0</v>
      </c>
      <c r="GV12" s="34">
        <f>SUMIF('Rig 109'!$B:$B,Lists!$A$35,'Rig 109'!$F:$F)</f>
        <v>0</v>
      </c>
      <c r="GW12" s="34">
        <f>SUMIF('Rig 109'!$B:$B,Lists!$A$35,'Rig 109'!$G:$G)</f>
        <v>0</v>
      </c>
      <c r="GX12" s="34">
        <f>SUMIF('Rig 109'!$B:$B,Lists!$A$35,'Rig 109'!$H:$H)</f>
        <v>0</v>
      </c>
      <c r="GY12" s="34">
        <f>SUMIF('Rig 109'!$B:$B,Lists!$A$35,'Rig 109'!$I:$I)</f>
        <v>0</v>
      </c>
      <c r="GZ12" s="34">
        <f>SUMIF('Rig 109'!$B:$B,Lists!$A$36,'Rig 109'!$C:$C)</f>
        <v>0</v>
      </c>
      <c r="HA12" s="34">
        <f>SUMIF('Rig 109'!$B:$B,Lists!$A$36,'Rig 109'!$E:$E)</f>
        <v>0</v>
      </c>
      <c r="HB12" s="34">
        <f>SUMIF('Rig 109'!$B:$B,Lists!$A$36,'Rig 109'!$F:$F)</f>
        <v>0</v>
      </c>
      <c r="HC12" s="34">
        <f>SUMIF('Rig 109'!$B:$B,Lists!$A$36,'Rig 109'!$G:$G)</f>
        <v>0</v>
      </c>
      <c r="HD12" s="34">
        <f>SUMIF('Rig 109'!$B:$B,Lists!$A$36,'Rig 109'!$H:$H)</f>
        <v>0</v>
      </c>
      <c r="HE12" s="34">
        <f>SUMIF('Rig 109'!$B:$B,Lists!$A$36,'Rig 109'!$I:$I)</f>
        <v>0</v>
      </c>
      <c r="HF12" s="34">
        <f>SUMIF('Rig 109'!$B:$B,Lists!$A$37,'Rig 109'!$C:$C)</f>
        <v>0</v>
      </c>
      <c r="HG12" s="34">
        <f>SUMIF('Rig 109'!$B:$B,Lists!$A$37,'Rig 109'!$E:$E)</f>
        <v>0</v>
      </c>
      <c r="HH12" s="34">
        <f>SUMIF('Rig 109'!$B:$B,Lists!$A$37,'Rig 109'!$F:$F)</f>
        <v>0</v>
      </c>
      <c r="HI12" s="34">
        <f>SUMIF('Rig 109'!$B:$B,Lists!$A$37,'Rig 109'!$G:$G)</f>
        <v>0</v>
      </c>
      <c r="HJ12" s="34">
        <f>SUMIF('Rig 109'!$B:$B,Lists!$A$37,'Rig 109'!$H:$H)</f>
        <v>0</v>
      </c>
      <c r="HK12" s="34">
        <f>SUMIF('Rig 109'!$B:$B,Lists!$A$37,'Rig 109'!$I:$I)</f>
        <v>0</v>
      </c>
      <c r="HL12" s="34">
        <f>SUMIF('Rig 109'!$B:$B,Lists!$A$38,'Rig 109'!$C:$C)</f>
        <v>0</v>
      </c>
      <c r="HM12" s="34">
        <f>SUMIF('Rig 109'!$B:$B,Lists!$A$38,'Rig 109'!$E:$E)</f>
        <v>0</v>
      </c>
      <c r="HN12" s="34">
        <f>SUMIF('Rig 109'!$B:$B,Lists!$A$38,'Rig 109'!$F:$F)</f>
        <v>0</v>
      </c>
      <c r="HO12" s="34">
        <f>SUMIF('Rig 109'!$B:$B,Lists!$A$38,'Rig 109'!$G:$G)</f>
        <v>0</v>
      </c>
      <c r="HP12" s="34">
        <f>SUMIF('Rig 109'!$B:$B,Lists!$A$38,'Rig 109'!$H:$H)</f>
        <v>0</v>
      </c>
      <c r="HQ12" s="34">
        <f>SUMIF('Rig 109'!$B:$B,Lists!$A$38,'Rig 109'!$I:$I)</f>
        <v>0</v>
      </c>
      <c r="HR12" s="34">
        <f>SUMIF('Rig 109'!$B:$B,Lists!$A$39,'Rig 109'!$C:$C)</f>
        <v>6</v>
      </c>
      <c r="HS12" s="34">
        <f>SUMIF('Rig 109'!$B:$B,Lists!$A$39,'Rig 109'!$E:$E)</f>
        <v>0</v>
      </c>
      <c r="HT12" s="34">
        <f>SUMIF('Rig 109'!$B:$B,Lists!$A$39,'Rig 109'!$F:$F)</f>
        <v>0</v>
      </c>
      <c r="HU12" s="34">
        <f>SUMIF('Rig 109'!$B:$B,Lists!$A$39,'Rig 109'!$G:$G)</f>
        <v>0</v>
      </c>
      <c r="HV12" s="34">
        <f>SUMIF('Rig 109'!$B:$B,Lists!$A$39,'Rig 109'!$H:$H)</f>
        <v>0</v>
      </c>
      <c r="HW12" s="34">
        <f>SUMIF('Rig 109'!$B:$B,Lists!$A$39,'Rig 109'!$I:$I)</f>
        <v>0</v>
      </c>
      <c r="HX12" s="34">
        <f>SUMIF('Rig 109'!$B:$B,Lists!$A$40,'Rig 109'!$C:$C)</f>
        <v>0</v>
      </c>
      <c r="HY12" s="34">
        <f>SUMIF('Rig 109'!$B:$B,Lists!$A$40,'Rig 109'!$E:$E)</f>
        <v>0</v>
      </c>
      <c r="HZ12" s="34">
        <f>SUMIF('Rig 109'!$B:$B,Lists!$A$40,'Rig 109'!$F:$F)</f>
        <v>0</v>
      </c>
      <c r="IA12" s="34">
        <f>SUMIF('Rig 109'!$B:$B,Lists!$A$40,'Rig 109'!$G:$G)</f>
        <v>0</v>
      </c>
      <c r="IB12" s="34">
        <f>SUMIF('Rig 109'!$B:$B,Lists!$A$40,'Rig 109'!$H:$H)</f>
        <v>0</v>
      </c>
      <c r="IC12" s="34">
        <f>SUMIF('Rig 109'!$B:$B,Lists!$A$40,'Rig 109'!$I:$I)</f>
        <v>0</v>
      </c>
      <c r="ID12" s="34">
        <f>SUMIF('Rig 109'!$B:$B,Lists!$A$41,'Rig 109'!$C:$C)</f>
        <v>0</v>
      </c>
      <c r="IE12" s="34">
        <f>SUMIF('Rig 109'!$B:$B,Lists!$A$41,'Rig 109'!$E:$E)</f>
        <v>0</v>
      </c>
      <c r="IF12" s="34">
        <f>SUMIF('Rig 109'!$B:$B,Lists!$A$41,'Rig 109'!$F:$F)</f>
        <v>0</v>
      </c>
      <c r="IG12" s="34">
        <f>SUMIF('Rig 109'!$B:$B,Lists!$A$41,'Rig 109'!$G:$G)</f>
        <v>0</v>
      </c>
      <c r="IH12" s="34">
        <f>SUMIF('Rig 109'!$B:$B,Lists!$A$41,'Rig 109'!$H:$H)</f>
        <v>0</v>
      </c>
      <c r="II12" s="34">
        <f>SUMIF('Rig 109'!$B:$B,Lists!$A$41,'Rig 109'!$I:$I)</f>
        <v>0</v>
      </c>
    </row>
    <row r="13" spans="1:243" ht="19.5" customHeight="1" x14ac:dyDescent="0.3">
      <c r="A13" s="35" t="s">
        <v>84</v>
      </c>
      <c r="B13" s="36">
        <f>'Rig 110'!D2</f>
        <v>46160</v>
      </c>
      <c r="C13" s="37" t="s">
        <v>77</v>
      </c>
      <c r="D13" s="38">
        <f>SUMIF('Rig 110'!$B:$B,Lists!$A$2,'Rig 110'!$C:$C)</f>
        <v>0</v>
      </c>
      <c r="E13" s="38">
        <f>SUMIF('Rig 110'!$B:$B,Lists!$A$2,'Rig 110'!$E:$E)</f>
        <v>0</v>
      </c>
      <c r="F13" s="38">
        <f>SUMIF('Rig 110'!$B:$B,Lists!$A$2,'Rig 110'!$F:$F)</f>
        <v>0</v>
      </c>
      <c r="G13" s="38">
        <f>SUMIF('Rig 110'!$B:$B,Lists!$A$2,'Rig 110'!$G:$G)</f>
        <v>0</v>
      </c>
      <c r="H13" s="38">
        <f>SUMIF('Rig 110'!$B:$B,Lists!$A$2,'Rig 110'!$H:$H)</f>
        <v>0</v>
      </c>
      <c r="I13" s="38">
        <f>SUMIF('Rig 110'!$B:$B,Lists!$A$2,'Rig 110'!$I:$I)</f>
        <v>0</v>
      </c>
      <c r="J13" s="38">
        <f>SUMIF('Rig 110'!$B:$B,Lists!$A$3,'Rig 110'!$C:$C)</f>
        <v>0</v>
      </c>
      <c r="K13" s="38">
        <f>SUMIF('Rig 110'!$B:$B,Lists!$A$3,'Rig 110'!$E:$E)</f>
        <v>0</v>
      </c>
      <c r="L13" s="38">
        <f>SUMIF('Rig 110'!$B:$B,Lists!$A$3,'Rig 110'!$F:$F)</f>
        <v>0</v>
      </c>
      <c r="M13" s="38">
        <f>SUMIF('Rig 110'!$B:$B,Lists!$A$3,'Rig 110'!$G:$G)</f>
        <v>0</v>
      </c>
      <c r="N13" s="38">
        <f>SUMIF('Rig 110'!$B:$B,Lists!$A$3,'Rig 110'!$H:$H)</f>
        <v>0</v>
      </c>
      <c r="O13" s="38">
        <f>SUMIF('Rig 110'!$B:$B,Lists!$A$3,'Rig 110'!$I:$I)</f>
        <v>0</v>
      </c>
      <c r="P13" s="38">
        <f>SUMIF('Rig 110'!$B:$B,Lists!$A$4,'Rig 110'!$C:$C)</f>
        <v>0</v>
      </c>
      <c r="Q13" s="38">
        <f>SUMIF('Rig 110'!$B:$B,Lists!$A$4,'Rig 110'!$E:$E)</f>
        <v>0</v>
      </c>
      <c r="R13" s="38">
        <f>SUMIF('Rig 110'!$B:$B,Lists!$A$4,'Rig 110'!$F:$F)</f>
        <v>0</v>
      </c>
      <c r="S13" s="38">
        <f>SUMIF('Rig 110'!$B:$B,Lists!$A$4,'Rig 110'!$G:$G)</f>
        <v>0</v>
      </c>
      <c r="T13" s="38">
        <f>SUMIF('Rig 110'!$B:$B,Lists!$A$4,'Rig 110'!$H:$H)</f>
        <v>0</v>
      </c>
      <c r="U13" s="38">
        <f>SUMIF('Rig 110'!$B:$B,Lists!$A$4,'Rig 110'!$I:$I)</f>
        <v>0</v>
      </c>
      <c r="V13" s="38">
        <f>SUMIF('Rig 110'!$B:$B,Lists!$A$5,'Rig 110'!$C:$C)</f>
        <v>0</v>
      </c>
      <c r="W13" s="38">
        <f>SUMIF('Rig 110'!$B:$B,Lists!$A$5,'Rig 110'!$E:$E)</f>
        <v>0</v>
      </c>
      <c r="X13" s="38">
        <f>SUMIF('Rig 110'!$B:$B,Lists!$A$5,'Rig 110'!$F:$F)</f>
        <v>0</v>
      </c>
      <c r="Y13" s="38">
        <f>SUMIF('Rig 110'!$B:$B,Lists!$A$5,'Rig 110'!$G:$G)</f>
        <v>0</v>
      </c>
      <c r="Z13" s="38">
        <f>SUMIF('Rig 110'!$B:$B,Lists!$A$5,'Rig 110'!$H:$H)</f>
        <v>0</v>
      </c>
      <c r="AA13" s="38">
        <f>SUMIF('Rig 110'!$B:$B,Lists!$A$5,'Rig 110'!$I:$I)</f>
        <v>0</v>
      </c>
      <c r="AB13" s="38">
        <f>SUMIF('Rig 110'!$B:$B,Lists!$A$6,'Rig 110'!$C:$C)</f>
        <v>208</v>
      </c>
      <c r="AC13" s="38">
        <f>SUMIF('Rig 110'!$B:$B,Lists!$A$6,'Rig 110'!$E:$E)</f>
        <v>252</v>
      </c>
      <c r="AD13" s="38">
        <f>SUMIF('Rig 110'!$B:$B,Lists!$A$6,'Rig 110'!$F:$F)</f>
        <v>0</v>
      </c>
      <c r="AE13" s="38">
        <f>SUMIF('Rig 110'!$B:$B,Lists!$A$6,'Rig 110'!$G:$G)</f>
        <v>0</v>
      </c>
      <c r="AF13" s="38">
        <f>SUMIF('Rig 110'!$B:$B,Lists!$A$6,'Rig 110'!$H:$H)</f>
        <v>0</v>
      </c>
      <c r="AG13" s="38">
        <f>SUMIF('Rig 110'!$B:$B,Lists!$A$6,'Rig 110'!$I:$I)</f>
        <v>0</v>
      </c>
      <c r="AH13" s="38">
        <f>SUMIF('Rig 110'!$B:$B,Lists!$A$7,'Rig 110'!$C:$C)</f>
        <v>0</v>
      </c>
      <c r="AI13" s="38">
        <f>SUMIF('Rig 110'!$B:$B,Lists!$A$7,'Rig 110'!$E:$E)</f>
        <v>0</v>
      </c>
      <c r="AJ13" s="38">
        <f>SUMIF('Rig 110'!$B:$B,Lists!$A$7,'Rig 110'!$F:$F)</f>
        <v>0</v>
      </c>
      <c r="AK13" s="38">
        <f>SUMIF('Rig 110'!$B:$B,Lists!$A$7,'Rig 110'!$G:$G)</f>
        <v>0</v>
      </c>
      <c r="AL13" s="38">
        <f>SUMIF('Rig 110'!$B:$B,Lists!$A$7,'Rig 110'!$H:$H)</f>
        <v>0</v>
      </c>
      <c r="AM13" s="38">
        <f>SUMIF('Rig 110'!$B:$B,Lists!$A$7,'Rig 110'!$I:$I)</f>
        <v>0</v>
      </c>
      <c r="AN13" s="38">
        <f>SUMIF('Rig 110'!$B:$B,Lists!$A$8,'Rig 110'!$C:$C)</f>
        <v>0</v>
      </c>
      <c r="AO13" s="38">
        <f>SUMIF('Rig 110'!$B:$B,Lists!$A$8,'Rig 110'!$E:$E)</f>
        <v>0</v>
      </c>
      <c r="AP13" s="38">
        <f>SUMIF('Rig 110'!$B:$B,Lists!$A$8,'Rig 110'!$F:$F)</f>
        <v>0</v>
      </c>
      <c r="AQ13" s="38">
        <f>SUMIF('Rig 110'!$B:$B,Lists!$A$8,'Rig 110'!$G:$G)</f>
        <v>0</v>
      </c>
      <c r="AR13" s="38">
        <f>SUMIF('Rig 110'!$B:$B,Lists!$A$8,'Rig 110'!$H:$H)</f>
        <v>0</v>
      </c>
      <c r="AS13" s="38">
        <f>SUMIF('Rig 110'!$B:$B,Lists!$A$8,'Rig 110'!$I:$I)</f>
        <v>0</v>
      </c>
      <c r="AT13" s="38">
        <f>SUMIF('Rig 110'!$B:$B,Lists!$A$9,'Rig 110'!$C:$C)</f>
        <v>0</v>
      </c>
      <c r="AU13" s="38">
        <f>SUMIF('Rig 110'!$B:$B,Lists!$A$9,'Rig 110'!$E:$E)</f>
        <v>0</v>
      </c>
      <c r="AV13" s="38">
        <f>SUMIF('Rig 110'!$B:$B,Lists!$A$9,'Rig 110'!$F:$F)</f>
        <v>0</v>
      </c>
      <c r="AW13" s="38">
        <f>SUMIF('Rig 110'!$B:$B,Lists!$A$9,'Rig 110'!$G:$G)</f>
        <v>0</v>
      </c>
      <c r="AX13" s="38">
        <f>SUMIF('Rig 110'!$B:$B,Lists!$A$9,'Rig 110'!$H:$H)</f>
        <v>0</v>
      </c>
      <c r="AY13" s="38">
        <f>SUMIF('Rig 110'!$B:$B,Lists!$A$9,'Rig 110'!$I:$I)</f>
        <v>0</v>
      </c>
      <c r="AZ13" s="38">
        <f>SUMIF('Rig 110'!$B:$B,Lists!$A$10,'Rig 110'!$C:$C)</f>
        <v>0</v>
      </c>
      <c r="BA13" s="38">
        <f>SUMIF('Rig 110'!$B:$B,Lists!$A$10,'Rig 110'!$E:$E)</f>
        <v>0</v>
      </c>
      <c r="BB13" s="38">
        <f>SUMIF('Rig 110'!$B:$B,Lists!$A$10,'Rig 110'!$F:$F)</f>
        <v>0</v>
      </c>
      <c r="BC13" s="38">
        <f>SUMIF('Rig 110'!$B:$B,Lists!$A$10,'Rig 110'!$G:$G)</f>
        <v>0</v>
      </c>
      <c r="BD13" s="38">
        <f>SUMIF('Rig 110'!$B:$B,Lists!$A$10,'Rig 110'!$H:$H)</f>
        <v>0</v>
      </c>
      <c r="BE13" s="38">
        <f>SUMIF('Rig 110'!$B:$B,Lists!$A$10,'Rig 110'!$I:$I)</f>
        <v>0</v>
      </c>
      <c r="BF13" s="38">
        <f>SUMIF('Rig 110'!$B:$B,Lists!$A$11,'Rig 110'!$C:$C)</f>
        <v>208</v>
      </c>
      <c r="BG13" s="38">
        <f>SUMIF('Rig 110'!$B:$B,Lists!$A$11,'Rig 110'!$E:$E)</f>
        <v>192</v>
      </c>
      <c r="BH13" s="38">
        <f>SUMIF('Rig 110'!$B:$B,Lists!$A$11,'Rig 110'!$F:$F)</f>
        <v>0</v>
      </c>
      <c r="BI13" s="38">
        <f>SUMIF('Rig 110'!$B:$B,Lists!$A$11,'Rig 110'!$G:$G)</f>
        <v>0</v>
      </c>
      <c r="BJ13" s="38">
        <f>SUMIF('Rig 110'!$B:$B,Lists!$A$11,'Rig 110'!$H:$H)</f>
        <v>0</v>
      </c>
      <c r="BK13" s="38">
        <f>SUMIF('Rig 110'!$B:$B,Lists!$A$11,'Rig 110'!$I:$I)</f>
        <v>0</v>
      </c>
      <c r="BL13" s="38">
        <f>SUMIF('Rig 110'!$B:$B,Lists!$A$12,'Rig 110'!$C:$C)</f>
        <v>0</v>
      </c>
      <c r="BM13" s="38">
        <f>SUMIF('Rig 110'!$B:$B,Lists!$A$12,'Rig 110'!$E:$E)</f>
        <v>0</v>
      </c>
      <c r="BN13" s="38">
        <f>SUMIF('Rig 110'!$B:$B,Lists!$A$12,'Rig 110'!$F:$F)</f>
        <v>0</v>
      </c>
      <c r="BO13" s="38">
        <f>SUMIF('Rig 110'!$B:$B,Lists!$A$12,'Rig 110'!$G:$G)</f>
        <v>0</v>
      </c>
      <c r="BP13" s="38">
        <f>SUMIF('Rig 110'!$B:$B,Lists!$A$12,'Rig 110'!$H:$H)</f>
        <v>0</v>
      </c>
      <c r="BQ13" s="38">
        <f>SUMIF('Rig 110'!$B:$B,Lists!$A$12,'Rig 110'!$I:$I)</f>
        <v>0</v>
      </c>
      <c r="BR13" s="38">
        <f>SUMIF('Rig 110'!$B:$B,Lists!$A$13,'Rig 110'!$C:$C)</f>
        <v>0</v>
      </c>
      <c r="BS13" s="38">
        <f>SUMIF('Rig 110'!$B:$B,Lists!$A$13,'Rig 110'!$E:$E)</f>
        <v>0</v>
      </c>
      <c r="BT13" s="38">
        <f>SUMIF('Rig 110'!$B:$B,Lists!$A$13,'Rig 110'!$F:$F)</f>
        <v>0</v>
      </c>
      <c r="BU13" s="38">
        <f>SUMIF('Rig 110'!$B:$B,Lists!$A$13,'Rig 110'!$G:$G)</f>
        <v>0</v>
      </c>
      <c r="BV13" s="38">
        <f>SUMIF('Rig 110'!$B:$B,Lists!$A$13,'Rig 110'!$H:$H)</f>
        <v>0</v>
      </c>
      <c r="BW13" s="38">
        <f>SUMIF('Rig 110'!$B:$B,Lists!$A$13,'Rig 110'!$I:$I)</f>
        <v>0</v>
      </c>
      <c r="BX13" s="38">
        <f>SUMIF('Rig 110'!$B:$B,Lists!$A$14,'Rig 110'!$C:$C)</f>
        <v>0</v>
      </c>
      <c r="BY13" s="38">
        <f>SUMIF('Rig 110'!$B:$B,Lists!$A$14,'Rig 110'!$E:$E)</f>
        <v>0</v>
      </c>
      <c r="BZ13" s="38">
        <f>SUMIF('Rig 110'!$B:$B,Lists!$A$14,'Rig 110'!$F:$F)</f>
        <v>0</v>
      </c>
      <c r="CA13" s="38">
        <f>SUMIF('Rig 110'!$B:$B,Lists!$A$14,'Rig 110'!$G:$G)</f>
        <v>0</v>
      </c>
      <c r="CB13" s="38">
        <f>SUMIF('Rig 110'!$B:$B,Lists!$A$14,'Rig 110'!$H:$H)</f>
        <v>0</v>
      </c>
      <c r="CC13" s="38">
        <f>SUMIF('Rig 110'!$B:$B,Lists!$A$14,'Rig 110'!$I:$I)</f>
        <v>0</v>
      </c>
      <c r="CD13" s="38">
        <f>SUMIF('Rig 110'!$B:$B,Lists!$A$15,'Rig 110'!$C:$C)</f>
        <v>0</v>
      </c>
      <c r="CE13" s="38">
        <f>SUMIF('Rig 110'!$B:$B,Lists!$A$15,'Rig 110'!$E:$E)</f>
        <v>0</v>
      </c>
      <c r="CF13" s="38">
        <f>SUMIF('Rig 110'!$B:$B,Lists!$A$15,'Rig 110'!$F:$F)</f>
        <v>0</v>
      </c>
      <c r="CG13" s="38">
        <f>SUMIF('Rig 110'!$B:$B,Lists!$A$15,'Rig 110'!$G:$G)</f>
        <v>0</v>
      </c>
      <c r="CH13" s="38">
        <f>SUMIF('Rig 110'!$B:$B,Lists!$A$15,'Rig 110'!$H:$H)</f>
        <v>0</v>
      </c>
      <c r="CI13" s="38">
        <f>SUMIF('Rig 110'!$B:$B,Lists!$A$15,'Rig 110'!$I:$I)</f>
        <v>0</v>
      </c>
      <c r="CJ13" s="38">
        <f>SUMIF('Rig 110'!$B:$B,Lists!$A$16,'Rig 110'!$C:$C)</f>
        <v>0</v>
      </c>
      <c r="CK13" s="38">
        <f>SUMIF('Rig 110'!$B:$B,Lists!$A$16,'Rig 110'!$E:$E)</f>
        <v>0</v>
      </c>
      <c r="CL13" s="38">
        <f>SUMIF('Rig 110'!$B:$B,Lists!$A$16,'Rig 110'!$F:$F)</f>
        <v>0</v>
      </c>
      <c r="CM13" s="38">
        <f>SUMIF('Rig 110'!$B:$B,Lists!$A$16,'Rig 110'!$G:$G)</f>
        <v>0</v>
      </c>
      <c r="CN13" s="38">
        <f>SUMIF('Rig 110'!$B:$B,Lists!$A$16,'Rig 110'!$H:$H)</f>
        <v>0</v>
      </c>
      <c r="CO13" s="38">
        <f>SUMIF('Rig 110'!$B:$B,Lists!$A$16,'Rig 110'!$I:$I)</f>
        <v>0</v>
      </c>
      <c r="CP13" s="38">
        <f>SUMIF('Rig 110'!$B:$B,Lists!$A$17,'Rig 110'!$C:$C)</f>
        <v>0</v>
      </c>
      <c r="CQ13" s="38">
        <f>SUMIF('Rig 110'!$B:$B,Lists!$A$17,'Rig 110'!$E:$E)</f>
        <v>0</v>
      </c>
      <c r="CR13" s="38">
        <f>SUMIF('Rig 110'!$B:$B,Lists!$A$17,'Rig 110'!$F:$F)</f>
        <v>0</v>
      </c>
      <c r="CS13" s="38">
        <f>SUMIF('Rig 110'!$B:$B,Lists!$A$17,'Rig 110'!$G:$G)</f>
        <v>0</v>
      </c>
      <c r="CT13" s="38">
        <f>SUMIF('Rig 110'!$B:$B,Lists!$A$17,'Rig 110'!$H:$H)</f>
        <v>0</v>
      </c>
      <c r="CU13" s="38">
        <f>SUMIF('Rig 110'!$B:$B,Lists!$A$17,'Rig 110'!$I:$I)</f>
        <v>0</v>
      </c>
      <c r="CV13" s="38">
        <f>SUMIF('Rig 110'!$B:$B,Lists!$A$18,'Rig 110'!$C:$C)</f>
        <v>38</v>
      </c>
      <c r="CW13" s="38">
        <f>SUMIF('Rig 110'!$B:$B,Lists!$A$18,'Rig 110'!$E:$E)</f>
        <v>12</v>
      </c>
      <c r="CX13" s="38">
        <f>SUMIF('Rig 110'!$B:$B,Lists!$A$18,'Rig 110'!$F:$F)</f>
        <v>0</v>
      </c>
      <c r="CY13" s="38">
        <f>SUMIF('Rig 110'!$B:$B,Lists!$A$18,'Rig 110'!$G:$G)</f>
        <v>0</v>
      </c>
      <c r="CZ13" s="38">
        <f>SUMIF('Rig 110'!$B:$B,Lists!$A$18,'Rig 110'!$H:$H)</f>
        <v>0</v>
      </c>
      <c r="DA13" s="38">
        <f>SUMIF('Rig 110'!$B:$B,Lists!$A$18,'Rig 110'!$I:$I)</f>
        <v>0</v>
      </c>
      <c r="DB13" s="38">
        <f>SUMIF('Rig 110'!$B:$B,Lists!$A$19,'Rig 110'!$C:$C)</f>
        <v>38</v>
      </c>
      <c r="DC13" s="38">
        <f>SUMIF('Rig 110'!$B:$B,Lists!$A$19,'Rig 110'!$E:$E)</f>
        <v>32</v>
      </c>
      <c r="DD13" s="38">
        <f>SUMIF('Rig 110'!$B:$B,Lists!$A$19,'Rig 110'!$F:$F)</f>
        <v>0</v>
      </c>
      <c r="DE13" s="38">
        <f>SUMIF('Rig 110'!$B:$B,Lists!$A$19,'Rig 110'!$G:$G)</f>
        <v>0</v>
      </c>
      <c r="DF13" s="38">
        <f>SUMIF('Rig 110'!$B:$B,Lists!$A$19,'Rig 110'!$H:$H)</f>
        <v>0</v>
      </c>
      <c r="DG13" s="38">
        <f>SUMIF('Rig 110'!$B:$B,Lists!$A$19,'Rig 110'!$I:$I)</f>
        <v>0</v>
      </c>
      <c r="DH13" s="38">
        <f>SUMIF('Rig 110'!$B:$B,Lists!$A$20,'Rig 110'!$C:$C)</f>
        <v>0</v>
      </c>
      <c r="DI13" s="38">
        <f>SUMIF('Rig 110'!$B:$B,Lists!$A$20,'Rig 110'!$E:$E)</f>
        <v>0</v>
      </c>
      <c r="DJ13" s="38">
        <f>SUMIF('Rig 110'!$B:$B,Lists!$A$20,'Rig 110'!$F:$F)</f>
        <v>0</v>
      </c>
      <c r="DK13" s="38">
        <f>SUMIF('Rig 110'!$B:$B,Lists!$A$20,'Rig 110'!$G:$G)</f>
        <v>0</v>
      </c>
      <c r="DL13" s="38">
        <f>SUMIF('Rig 110'!$B:$B,Lists!$A$20,'Rig 110'!$H:$H)</f>
        <v>0</v>
      </c>
      <c r="DM13" s="38">
        <f>SUMIF('Rig 110'!$B:$B,Lists!$A$20,'Rig 110'!$I:$I)</f>
        <v>0</v>
      </c>
      <c r="DN13" s="38">
        <f>SUMIF('Rig 110'!$B:$B,Lists!$A$21,'Rig 110'!$C:$C)</f>
        <v>0</v>
      </c>
      <c r="DO13" s="38">
        <f>SUMIF('Rig 110'!$B:$B,Lists!$A$21,'Rig 110'!$E:$E)</f>
        <v>0</v>
      </c>
      <c r="DP13" s="38">
        <f>SUMIF('Rig 110'!$B:$B,Lists!$A$21,'Rig 110'!$F:$F)</f>
        <v>0</v>
      </c>
      <c r="DQ13" s="38">
        <f>SUMIF('Rig 110'!$B:$B,Lists!$A$21,'Rig 110'!$G:$G)</f>
        <v>0</v>
      </c>
      <c r="DR13" s="38">
        <f>SUMIF('Rig 110'!$B:$B,Lists!$A$21,'Rig 110'!$H:$H)</f>
        <v>0</v>
      </c>
      <c r="DS13" s="38">
        <f>SUMIF('Rig 110'!$B:$B,Lists!$A$21,'Rig 110'!$I:$I)</f>
        <v>0</v>
      </c>
      <c r="DT13" s="38">
        <f>SUMIF('Rig 110'!$B:$B,Lists!$A$22,'Rig 110'!$C:$C)</f>
        <v>3</v>
      </c>
      <c r="DU13" s="38">
        <f>SUMIF('Rig 110'!$B:$B,Lists!$A$22,'Rig 110'!$E:$E)</f>
        <v>3</v>
      </c>
      <c r="DV13" s="38">
        <f>SUMIF('Rig 110'!$B:$B,Lists!$A$22,'Rig 110'!$F:$F)</f>
        <v>0</v>
      </c>
      <c r="DW13" s="38">
        <f>SUMIF('Rig 110'!$B:$B,Lists!$A$22,'Rig 110'!$G:$G)</f>
        <v>0</v>
      </c>
      <c r="DX13" s="38">
        <f>SUMIF('Rig 110'!$B:$B,Lists!$A$22,'Rig 110'!$H:$H)</f>
        <v>0</v>
      </c>
      <c r="DY13" s="38">
        <f>SUMIF('Rig 110'!$B:$B,Lists!$A$22,'Rig 110'!$I:$I)</f>
        <v>0</v>
      </c>
      <c r="DZ13" s="38">
        <f>SUMIF('Rig 110'!$B:$B,Lists!$A$23,'Rig 110'!$C:$C)</f>
        <v>0</v>
      </c>
      <c r="EA13" s="38">
        <f>SUMIF('Rig 110'!$B:$B,Lists!$A$23,'Rig 110'!$E:$E)</f>
        <v>0</v>
      </c>
      <c r="EB13" s="38">
        <f>SUMIF('Rig 110'!$B:$B,Lists!$A$23,'Rig 110'!$F:$F)</f>
        <v>0</v>
      </c>
      <c r="EC13" s="38">
        <f>SUMIF('Rig 110'!$B:$B,Lists!$A$23,'Rig 110'!$G:$G)</f>
        <v>0</v>
      </c>
      <c r="ED13" s="38">
        <f>SUMIF('Rig 110'!$B:$B,Lists!$A$23,'Rig 110'!$H:$H)</f>
        <v>0</v>
      </c>
      <c r="EE13" s="38">
        <f>SUMIF('Rig 110'!$B:$B,Lists!$A$23,'Rig 110'!$I:$I)</f>
        <v>0</v>
      </c>
      <c r="EF13" s="38">
        <f>SUMIF('Rig 110'!$B:$B,Lists!$A$24,'Rig 110'!$C:$C)</f>
        <v>20</v>
      </c>
      <c r="EG13" s="38">
        <f>SUMIF('Rig 110'!$B:$B,Lists!$A$24,'Rig 110'!$E:$E)</f>
        <v>18</v>
      </c>
      <c r="EH13" s="38">
        <f>SUMIF('Rig 110'!$B:$B,Lists!$A$24,'Rig 110'!$F:$F)</f>
        <v>0</v>
      </c>
      <c r="EI13" s="38">
        <f>SUMIF('Rig 110'!$B:$B,Lists!$A$24,'Rig 110'!$G:$G)</f>
        <v>0</v>
      </c>
      <c r="EJ13" s="38">
        <f>SUMIF('Rig 110'!$B:$B,Lists!$A$24,'Rig 110'!$H:$H)</f>
        <v>0</v>
      </c>
      <c r="EK13" s="38">
        <f>SUMIF('Rig 110'!$B:$B,Lists!$A$24,'Rig 110'!$I:$I)</f>
        <v>0</v>
      </c>
      <c r="EL13" s="38">
        <f>SUMIF('Rig 110'!$B:$B,Lists!$A$25,'Rig 110'!$C:$C)</f>
        <v>12</v>
      </c>
      <c r="EM13" s="38">
        <f>SUMIF('Rig 110'!$B:$B,Lists!$A$25,'Rig 110'!$E:$E)</f>
        <v>12</v>
      </c>
      <c r="EN13" s="38">
        <f>SUMIF('Rig 110'!$B:$B,Lists!$A$25,'Rig 110'!$F:$F)</f>
        <v>0</v>
      </c>
      <c r="EO13" s="38">
        <f>SUMIF('Rig 110'!$B:$B,Lists!$A$25,'Rig 110'!$G:$G)</f>
        <v>0</v>
      </c>
      <c r="EP13" s="38">
        <f>SUMIF('Rig 110'!$B:$B,Lists!$A$25,'Rig 110'!$H:$H)</f>
        <v>0</v>
      </c>
      <c r="EQ13" s="38">
        <f>SUMIF('Rig 110'!$B:$B,Lists!$A$25,'Rig 110'!$I:$I)</f>
        <v>0</v>
      </c>
      <c r="ER13" s="38">
        <f>SUMIF('Rig 110'!$B:$B,Lists!$A$26,'Rig 110'!$C:$C)</f>
        <v>0</v>
      </c>
      <c r="ES13" s="38">
        <f>SUMIF('Rig 110'!$B:$B,Lists!$A$26,'Rig 110'!$E:$E)</f>
        <v>0</v>
      </c>
      <c r="ET13" s="38">
        <f>SUMIF('Rig 110'!$B:$B,Lists!$A$26,'Rig 110'!$F:$F)</f>
        <v>0</v>
      </c>
      <c r="EU13" s="38">
        <f>SUMIF('Rig 110'!$B:$B,Lists!$A$26,'Rig 110'!$G:$G)</f>
        <v>0</v>
      </c>
      <c r="EV13" s="38">
        <f>SUMIF('Rig 110'!$B:$B,Lists!$A$26,'Rig 110'!$H:$H)</f>
        <v>0</v>
      </c>
      <c r="EW13" s="38">
        <f>SUMIF('Rig 110'!$B:$B,Lists!$A$26,'Rig 110'!$I:$I)</f>
        <v>0</v>
      </c>
      <c r="EX13" s="38">
        <f>SUMIF('Rig 110'!$B:$B,Lists!$A$27,'Rig 110'!$C:$C)</f>
        <v>0</v>
      </c>
      <c r="EY13" s="38">
        <f>SUMIF('Rig 110'!$B:$B,Lists!$A$27,'Rig 110'!$E:$E)</f>
        <v>0</v>
      </c>
      <c r="EZ13" s="38">
        <f>SUMIF('Rig 110'!$B:$B,Lists!$A$27,'Rig 110'!$F:$F)</f>
        <v>0</v>
      </c>
      <c r="FA13" s="38">
        <f>SUMIF('Rig 110'!$B:$B,Lists!$A$27,'Rig 110'!$G:$G)</f>
        <v>0</v>
      </c>
      <c r="FB13" s="38">
        <f>SUMIF('Rig 110'!$B:$B,Lists!$A$27,'Rig 110'!$H:$H)</f>
        <v>0</v>
      </c>
      <c r="FC13" s="38">
        <f>SUMIF('Rig 110'!$B:$B,Lists!$A$27,'Rig 110'!$I:$I)</f>
        <v>0</v>
      </c>
      <c r="FD13" s="38">
        <f>SUMIF('Rig 110'!$B:$B,Lists!$A$28,'Rig 110'!$C:$C)</f>
        <v>0</v>
      </c>
      <c r="FE13" s="38">
        <f>SUMIF('Rig 110'!$B:$B,Lists!$A$28,'Rig 110'!$E:$E)</f>
        <v>0</v>
      </c>
      <c r="FF13" s="38">
        <f>SUMIF('Rig 110'!$B:$B,Lists!$A$28,'Rig 110'!$F:$F)</f>
        <v>0</v>
      </c>
      <c r="FG13" s="38">
        <f>SUMIF('Rig 110'!$B:$B,Lists!$A$28,'Rig 110'!$G:$G)</f>
        <v>0</v>
      </c>
      <c r="FH13" s="38">
        <f>SUMIF('Rig 110'!$B:$B,Lists!$A$28,'Rig 110'!$H:$H)</f>
        <v>0</v>
      </c>
      <c r="FI13" s="38">
        <f>SUMIF('Rig 110'!$B:$B,Lists!$A$28,'Rig 110'!$I:$I)</f>
        <v>0</v>
      </c>
      <c r="FJ13" s="38">
        <f>SUMIF('Rig 110'!$B:$B,Lists!$A$29,'Rig 110'!$C:$C)</f>
        <v>12</v>
      </c>
      <c r="FK13" s="38">
        <f>SUMIF('Rig 110'!$B:$B,Lists!$A$29,'Rig 110'!$E:$E)</f>
        <v>12</v>
      </c>
      <c r="FL13" s="38">
        <f>SUMIF('Rig 110'!$B:$B,Lists!$A$29,'Rig 110'!$F:$F)</f>
        <v>0</v>
      </c>
      <c r="FM13" s="38">
        <f>SUMIF('Rig 110'!$B:$B,Lists!$A$29,'Rig 110'!$G:$G)</f>
        <v>0</v>
      </c>
      <c r="FN13" s="38">
        <f>SUMIF('Rig 110'!$B:$B,Lists!$A$29,'Rig 110'!$H:$H)</f>
        <v>0</v>
      </c>
      <c r="FO13" s="38">
        <f>SUMIF('Rig 110'!$B:$B,Lists!$A$29,'Rig 110'!$I:$I)</f>
        <v>0</v>
      </c>
      <c r="FP13" s="38">
        <f>SUMIF('Rig 110'!$B:$B,Lists!$A$30,'Rig 110'!$C:$C)</f>
        <v>0</v>
      </c>
      <c r="FQ13" s="38">
        <f>SUMIF('Rig 110'!$B:$B,Lists!$A$30,'Rig 110'!$E:$E)</f>
        <v>0</v>
      </c>
      <c r="FR13" s="38">
        <f>SUMIF('Rig 110'!$B:$B,Lists!$A$30,'Rig 110'!$F:$F)</f>
        <v>0</v>
      </c>
      <c r="FS13" s="38">
        <f>SUMIF('Rig 110'!$B:$B,Lists!$A$30,'Rig 110'!$G:$G)</f>
        <v>0</v>
      </c>
      <c r="FT13" s="38">
        <f>SUMIF('Rig 110'!$B:$B,Lists!$A$30,'Rig 110'!$H:$H)</f>
        <v>0</v>
      </c>
      <c r="FU13" s="38">
        <f>SUMIF('Rig 110'!$B:$B,Lists!$A$30,'Rig 110'!$I:$I)</f>
        <v>0</v>
      </c>
      <c r="FV13" s="38">
        <f>SUMIF('Rig 110'!$B:$B,Lists!$A$31,'Rig 110'!$C:$C)</f>
        <v>0</v>
      </c>
      <c r="FW13" s="38">
        <f>SUMIF('Rig 110'!$B:$B,Lists!$A$31,'Rig 110'!$E:$E)</f>
        <v>0</v>
      </c>
      <c r="FX13" s="38">
        <f>SUMIF('Rig 110'!$B:$B,Lists!$A$31,'Rig 110'!$F:$F)</f>
        <v>0</v>
      </c>
      <c r="FY13" s="38">
        <f>SUMIF('Rig 110'!$B:$B,Lists!$A$31,'Rig 110'!$G:$G)</f>
        <v>0</v>
      </c>
      <c r="FZ13" s="38">
        <f>SUMIF('Rig 110'!$B:$B,Lists!$A$31,'Rig 110'!$H:$H)</f>
        <v>0</v>
      </c>
      <c r="GA13" s="38">
        <f>SUMIF('Rig 110'!$B:$B,Lists!$A$31,'Rig 110'!$I:$I)</f>
        <v>0</v>
      </c>
      <c r="GB13" s="38">
        <f>SUMIF('Rig 110'!$B:$B,Lists!$A$32,'Rig 110'!$C:$C)</f>
        <v>0</v>
      </c>
      <c r="GC13" s="38">
        <f>SUMIF('Rig 110'!$B:$B,Lists!$A$32,'Rig 110'!$E:$E)</f>
        <v>0</v>
      </c>
      <c r="GD13" s="38">
        <f>SUMIF('Rig 110'!$B:$B,Lists!$A$32,'Rig 110'!$F:$F)</f>
        <v>0</v>
      </c>
      <c r="GE13" s="38">
        <f>SUMIF('Rig 110'!$B:$B,Lists!$A$32,'Rig 110'!$G:$G)</f>
        <v>0</v>
      </c>
      <c r="GF13" s="38">
        <f>SUMIF('Rig 110'!$B:$B,Lists!$A$32,'Rig 110'!$H:$H)</f>
        <v>0</v>
      </c>
      <c r="GG13" s="38">
        <f>SUMIF('Rig 110'!$B:$B,Lists!$A$32,'Rig 110'!$I:$I)</f>
        <v>0</v>
      </c>
      <c r="GH13" s="38">
        <f>SUMIF('Rig 110'!$B:$B,Lists!$A$33,'Rig 110'!$C:$C)</f>
        <v>0</v>
      </c>
      <c r="GI13" s="38">
        <f>SUMIF('Rig 110'!$B:$B,Lists!$A$33,'Rig 110'!$E:$E)</f>
        <v>0</v>
      </c>
      <c r="GJ13" s="38">
        <f>SUMIF('Rig 110'!$B:$B,Lists!$A$33,'Rig 110'!$F:$F)</f>
        <v>0</v>
      </c>
      <c r="GK13" s="38">
        <f>SUMIF('Rig 110'!$B:$B,Lists!$A$33,'Rig 110'!$G:$G)</f>
        <v>0</v>
      </c>
      <c r="GL13" s="38">
        <f>SUMIF('Rig 110'!$B:$B,Lists!$A$33,'Rig 110'!$H:$H)</f>
        <v>0</v>
      </c>
      <c r="GM13" s="38">
        <f>SUMIF('Rig 110'!$B:$B,Lists!$A$33,'Rig 110'!$I:$I)</f>
        <v>0</v>
      </c>
      <c r="GN13" s="38">
        <f>SUMIF('Rig 110'!$B:$B,Lists!$A$34,'Rig 110'!$C:$C)</f>
        <v>3</v>
      </c>
      <c r="GO13" s="38">
        <f>SUMIF('Rig 110'!$B:$B,Lists!$A$34,'Rig 110'!$E:$E)</f>
        <v>6</v>
      </c>
      <c r="GP13" s="38">
        <f>SUMIF('Rig 110'!$B:$B,Lists!$A$34,'Rig 110'!$F:$F)</f>
        <v>0</v>
      </c>
      <c r="GQ13" s="38">
        <f>SUMIF('Rig 110'!$B:$B,Lists!$A$34,'Rig 110'!$G:$G)</f>
        <v>0</v>
      </c>
      <c r="GR13" s="38">
        <f>SUMIF('Rig 110'!$B:$B,Lists!$A$34,'Rig 110'!$H:$H)</f>
        <v>0</v>
      </c>
      <c r="GS13" s="38">
        <f>SUMIF('Rig 110'!$B:$B,Lists!$A$34,'Rig 110'!$I:$I)</f>
        <v>0</v>
      </c>
      <c r="GT13" s="38">
        <f>SUMIF('Rig 110'!$B:$B,Lists!$A$35,'Rig 110'!$C:$C)</f>
        <v>0</v>
      </c>
      <c r="GU13" s="38">
        <f>SUMIF('Rig 110'!$B:$B,Lists!$A$35,'Rig 110'!$E:$E)</f>
        <v>0</v>
      </c>
      <c r="GV13" s="38">
        <f>SUMIF('Rig 110'!$B:$B,Lists!$A$35,'Rig 110'!$F:$F)</f>
        <v>0</v>
      </c>
      <c r="GW13" s="38">
        <f>SUMIF('Rig 110'!$B:$B,Lists!$A$35,'Rig 110'!$G:$G)</f>
        <v>0</v>
      </c>
      <c r="GX13" s="38">
        <f>SUMIF('Rig 110'!$B:$B,Lists!$A$35,'Rig 110'!$H:$H)</f>
        <v>0</v>
      </c>
      <c r="GY13" s="38">
        <f>SUMIF('Rig 110'!$B:$B,Lists!$A$35,'Rig 110'!$I:$I)</f>
        <v>0</v>
      </c>
      <c r="GZ13" s="38">
        <f>SUMIF('Rig 110'!$B:$B,Lists!$A$36,'Rig 110'!$C:$C)</f>
        <v>0</v>
      </c>
      <c r="HA13" s="38">
        <f>SUMIF('Rig 110'!$B:$B,Lists!$A$36,'Rig 110'!$E:$E)</f>
        <v>0</v>
      </c>
      <c r="HB13" s="38">
        <f>SUMIF('Rig 110'!$B:$B,Lists!$A$36,'Rig 110'!$F:$F)</f>
        <v>0</v>
      </c>
      <c r="HC13" s="38">
        <f>SUMIF('Rig 110'!$B:$B,Lists!$A$36,'Rig 110'!$G:$G)</f>
        <v>0</v>
      </c>
      <c r="HD13" s="38">
        <f>SUMIF('Rig 110'!$B:$B,Lists!$A$36,'Rig 110'!$H:$H)</f>
        <v>0</v>
      </c>
      <c r="HE13" s="38">
        <f>SUMIF('Rig 110'!$B:$B,Lists!$A$36,'Rig 110'!$I:$I)</f>
        <v>0</v>
      </c>
      <c r="HF13" s="38">
        <f>SUMIF('Rig 110'!$B:$B,Lists!$A$37,'Rig 110'!$C:$C)</f>
        <v>0</v>
      </c>
      <c r="HG13" s="38">
        <f>SUMIF('Rig 110'!$B:$B,Lists!$A$37,'Rig 110'!$E:$E)</f>
        <v>0</v>
      </c>
      <c r="HH13" s="38">
        <f>SUMIF('Rig 110'!$B:$B,Lists!$A$37,'Rig 110'!$F:$F)</f>
        <v>0</v>
      </c>
      <c r="HI13" s="38">
        <f>SUMIF('Rig 110'!$B:$B,Lists!$A$37,'Rig 110'!$G:$G)</f>
        <v>0</v>
      </c>
      <c r="HJ13" s="38">
        <f>SUMIF('Rig 110'!$B:$B,Lists!$A$37,'Rig 110'!$H:$H)</f>
        <v>0</v>
      </c>
      <c r="HK13" s="38">
        <f>SUMIF('Rig 110'!$B:$B,Lists!$A$37,'Rig 110'!$I:$I)</f>
        <v>0</v>
      </c>
      <c r="HL13" s="38">
        <f>SUMIF('Rig 110'!$B:$B,Lists!$A$38,'Rig 110'!$C:$C)</f>
        <v>0</v>
      </c>
      <c r="HM13" s="38">
        <f>SUMIF('Rig 110'!$B:$B,Lists!$A$38,'Rig 110'!$E:$E)</f>
        <v>0</v>
      </c>
      <c r="HN13" s="38">
        <f>SUMIF('Rig 110'!$B:$B,Lists!$A$38,'Rig 110'!$F:$F)</f>
        <v>0</v>
      </c>
      <c r="HO13" s="38">
        <f>SUMIF('Rig 110'!$B:$B,Lists!$A$38,'Rig 110'!$G:$G)</f>
        <v>0</v>
      </c>
      <c r="HP13" s="38">
        <f>SUMIF('Rig 110'!$B:$B,Lists!$A$38,'Rig 110'!$H:$H)</f>
        <v>0</v>
      </c>
      <c r="HQ13" s="38">
        <f>SUMIF('Rig 110'!$B:$B,Lists!$A$38,'Rig 110'!$I:$I)</f>
        <v>0</v>
      </c>
      <c r="HR13" s="38">
        <f>SUMIF('Rig 110'!$B:$B,Lists!$A$39,'Rig 110'!$C:$C)</f>
        <v>3</v>
      </c>
      <c r="HS13" s="38">
        <f>SUMIF('Rig 110'!$B:$B,Lists!$A$39,'Rig 110'!$E:$E)</f>
        <v>4</v>
      </c>
      <c r="HT13" s="38">
        <f>SUMIF('Rig 110'!$B:$B,Lists!$A$39,'Rig 110'!$F:$F)</f>
        <v>0</v>
      </c>
      <c r="HU13" s="38">
        <f>SUMIF('Rig 110'!$B:$B,Lists!$A$39,'Rig 110'!$G:$G)</f>
        <v>0</v>
      </c>
      <c r="HV13" s="38">
        <f>SUMIF('Rig 110'!$B:$B,Lists!$A$39,'Rig 110'!$H:$H)</f>
        <v>0</v>
      </c>
      <c r="HW13" s="38">
        <f>SUMIF('Rig 110'!$B:$B,Lists!$A$39,'Rig 110'!$I:$I)</f>
        <v>0</v>
      </c>
      <c r="HX13" s="38">
        <f>SUMIF('Rig 110'!$B:$B,Lists!$A$40,'Rig 110'!$C:$C)</f>
        <v>0</v>
      </c>
      <c r="HY13" s="38">
        <f>SUMIF('Rig 110'!$B:$B,Lists!$A$40,'Rig 110'!$E:$E)</f>
        <v>0</v>
      </c>
      <c r="HZ13" s="38">
        <f>SUMIF('Rig 110'!$B:$B,Lists!$A$40,'Rig 110'!$F:$F)</f>
        <v>0</v>
      </c>
      <c r="IA13" s="38">
        <f>SUMIF('Rig 110'!$B:$B,Lists!$A$40,'Rig 110'!$G:$G)</f>
        <v>0</v>
      </c>
      <c r="IB13" s="38">
        <f>SUMIF('Rig 110'!$B:$B,Lists!$A$40,'Rig 110'!$H:$H)</f>
        <v>0</v>
      </c>
      <c r="IC13" s="38">
        <f>SUMIF('Rig 110'!$B:$B,Lists!$A$40,'Rig 110'!$I:$I)</f>
        <v>0</v>
      </c>
      <c r="ID13" s="38">
        <f>SUMIF('Rig 110'!$B:$B,Lists!$A$41,'Rig 110'!$C:$C)</f>
        <v>0</v>
      </c>
      <c r="IE13" s="38">
        <f>SUMIF('Rig 110'!$B:$B,Lists!$A$41,'Rig 110'!$E:$E)</f>
        <v>0</v>
      </c>
      <c r="IF13" s="38">
        <f>SUMIF('Rig 110'!$B:$B,Lists!$A$41,'Rig 110'!$F:$F)</f>
        <v>0</v>
      </c>
      <c r="IG13" s="38">
        <f>SUMIF('Rig 110'!$B:$B,Lists!$A$41,'Rig 110'!$G:$G)</f>
        <v>0</v>
      </c>
      <c r="IH13" s="38">
        <f>SUMIF('Rig 110'!$B:$B,Lists!$A$41,'Rig 110'!$H:$H)</f>
        <v>0</v>
      </c>
      <c r="II13" s="38">
        <f>SUMIF('Rig 110'!$B:$B,Lists!$A$41,'Rig 110'!$I:$I)</f>
        <v>0</v>
      </c>
    </row>
    <row r="14" spans="1:243" ht="19.5" customHeight="1" x14ac:dyDescent="0.3">
      <c r="A14" s="31" t="s">
        <v>85</v>
      </c>
      <c r="B14" s="32">
        <f>'Rig 111'!D2</f>
        <v>46162</v>
      </c>
      <c r="C14" s="33" t="s">
        <v>77</v>
      </c>
      <c r="D14" s="34">
        <f>SUMIF('Rig 111'!$B:$B,Lists!$A$2,'Rig 111'!$C:$C)</f>
        <v>0</v>
      </c>
      <c r="E14" s="34">
        <f>SUMIF('Rig 111'!$B:$B,Lists!$A$2,'Rig 111'!$E:$E)</f>
        <v>0</v>
      </c>
      <c r="F14" s="34">
        <f>SUMIF('Rig 111'!$B:$B,Lists!$A$2,'Rig 111'!$F:$F)</f>
        <v>0</v>
      </c>
      <c r="G14" s="34">
        <f>SUMIF('Rig 111'!$B:$B,Lists!$A$2,'Rig 111'!$G:$G)</f>
        <v>0</v>
      </c>
      <c r="H14" s="34">
        <f>SUMIF('Rig 111'!$B:$B,Lists!$A$2,'Rig 111'!$H:$H)</f>
        <v>0</v>
      </c>
      <c r="I14" s="34">
        <f>SUMIF('Rig 111'!$B:$B,Lists!$A$2,'Rig 111'!$I:$I)</f>
        <v>0</v>
      </c>
      <c r="J14" s="34">
        <f>SUMIF('Rig 111'!$B:$B,Lists!$A$3,'Rig 111'!$C:$C)</f>
        <v>0</v>
      </c>
      <c r="K14" s="34">
        <f>SUMIF('Rig 111'!$B:$B,Lists!$A$3,'Rig 111'!$E:$E)</f>
        <v>0</v>
      </c>
      <c r="L14" s="34">
        <f>SUMIF('Rig 111'!$B:$B,Lists!$A$3,'Rig 111'!$F:$F)</f>
        <v>0</v>
      </c>
      <c r="M14" s="34">
        <f>SUMIF('Rig 111'!$B:$B,Lists!$A$3,'Rig 111'!$G:$G)</f>
        <v>0</v>
      </c>
      <c r="N14" s="34">
        <f>SUMIF('Rig 111'!$B:$B,Lists!$A$3,'Rig 111'!$H:$H)</f>
        <v>0</v>
      </c>
      <c r="O14" s="34">
        <f>SUMIF('Rig 111'!$B:$B,Lists!$A$3,'Rig 111'!$I:$I)</f>
        <v>0</v>
      </c>
      <c r="P14" s="34">
        <f>SUMIF('Rig 111'!$B:$B,Lists!$A$4,'Rig 111'!$C:$C)</f>
        <v>0</v>
      </c>
      <c r="Q14" s="34">
        <f>SUMIF('Rig 111'!$B:$B,Lists!$A$4,'Rig 111'!$E:$E)</f>
        <v>0</v>
      </c>
      <c r="R14" s="34">
        <f>SUMIF('Rig 111'!$B:$B,Lists!$A$4,'Rig 111'!$F:$F)</f>
        <v>0</v>
      </c>
      <c r="S14" s="34">
        <f>SUMIF('Rig 111'!$B:$B,Lists!$A$4,'Rig 111'!$G:$G)</f>
        <v>0</v>
      </c>
      <c r="T14" s="34">
        <f>SUMIF('Rig 111'!$B:$B,Lists!$A$4,'Rig 111'!$H:$H)</f>
        <v>0</v>
      </c>
      <c r="U14" s="34">
        <f>SUMIF('Rig 111'!$B:$B,Lists!$A$4,'Rig 111'!$I:$I)</f>
        <v>0</v>
      </c>
      <c r="V14" s="34">
        <f>SUMIF('Rig 111'!$B:$B,Lists!$A$5,'Rig 111'!$C:$C)</f>
        <v>0</v>
      </c>
      <c r="W14" s="34">
        <f>SUMIF('Rig 111'!$B:$B,Lists!$A$5,'Rig 111'!$E:$E)</f>
        <v>0</v>
      </c>
      <c r="X14" s="34">
        <f>SUMIF('Rig 111'!$B:$B,Lists!$A$5,'Rig 111'!$F:$F)</f>
        <v>0</v>
      </c>
      <c r="Y14" s="34">
        <f>SUMIF('Rig 111'!$B:$B,Lists!$A$5,'Rig 111'!$G:$G)</f>
        <v>0</v>
      </c>
      <c r="Z14" s="34">
        <f>SUMIF('Rig 111'!$B:$B,Lists!$A$5,'Rig 111'!$H:$H)</f>
        <v>0</v>
      </c>
      <c r="AA14" s="34">
        <f>SUMIF('Rig 111'!$B:$B,Lists!$A$5,'Rig 111'!$I:$I)</f>
        <v>0</v>
      </c>
      <c r="AB14" s="34">
        <f>SUMIF('Rig 111'!$B:$B,Lists!$A$6,'Rig 111'!$C:$C)</f>
        <v>208</v>
      </c>
      <c r="AC14" s="34">
        <f>SUMIF('Rig 111'!$B:$B,Lists!$A$6,'Rig 111'!$E:$E)</f>
        <v>208</v>
      </c>
      <c r="AD14" s="34">
        <f>SUMIF('Rig 111'!$B:$B,Lists!$A$6,'Rig 111'!$F:$F)</f>
        <v>0</v>
      </c>
      <c r="AE14" s="34">
        <f>SUMIF('Rig 111'!$B:$B,Lists!$A$6,'Rig 111'!$G:$G)</f>
        <v>0</v>
      </c>
      <c r="AF14" s="34">
        <f>SUMIF('Rig 111'!$B:$B,Lists!$A$6,'Rig 111'!$H:$H)</f>
        <v>0</v>
      </c>
      <c r="AG14" s="34">
        <f>SUMIF('Rig 111'!$B:$B,Lists!$A$6,'Rig 111'!$I:$I)</f>
        <v>0</v>
      </c>
      <c r="AH14" s="34">
        <f>SUMIF('Rig 111'!$B:$B,Lists!$A$7,'Rig 111'!$C:$C)</f>
        <v>0</v>
      </c>
      <c r="AI14" s="34">
        <f>SUMIF('Rig 111'!$B:$B,Lists!$A$7,'Rig 111'!$E:$E)</f>
        <v>0</v>
      </c>
      <c r="AJ14" s="34">
        <f>SUMIF('Rig 111'!$B:$B,Lists!$A$7,'Rig 111'!$F:$F)</f>
        <v>0</v>
      </c>
      <c r="AK14" s="34">
        <f>SUMIF('Rig 111'!$B:$B,Lists!$A$7,'Rig 111'!$G:$G)</f>
        <v>0</v>
      </c>
      <c r="AL14" s="34">
        <f>SUMIF('Rig 111'!$B:$B,Lists!$A$7,'Rig 111'!$H:$H)</f>
        <v>0</v>
      </c>
      <c r="AM14" s="34">
        <f>SUMIF('Rig 111'!$B:$B,Lists!$A$7,'Rig 111'!$I:$I)</f>
        <v>0</v>
      </c>
      <c r="AN14" s="34">
        <f>SUMIF('Rig 111'!$B:$B,Lists!$A$8,'Rig 111'!$C:$C)</f>
        <v>0</v>
      </c>
      <c r="AO14" s="34">
        <f>SUMIF('Rig 111'!$B:$B,Lists!$A$8,'Rig 111'!$E:$E)</f>
        <v>0</v>
      </c>
      <c r="AP14" s="34">
        <f>SUMIF('Rig 111'!$B:$B,Lists!$A$8,'Rig 111'!$F:$F)</f>
        <v>0</v>
      </c>
      <c r="AQ14" s="34">
        <f>SUMIF('Rig 111'!$B:$B,Lists!$A$8,'Rig 111'!$G:$G)</f>
        <v>0</v>
      </c>
      <c r="AR14" s="34">
        <f>SUMIF('Rig 111'!$B:$B,Lists!$A$8,'Rig 111'!$H:$H)</f>
        <v>0</v>
      </c>
      <c r="AS14" s="34">
        <f>SUMIF('Rig 111'!$B:$B,Lists!$A$8,'Rig 111'!$I:$I)</f>
        <v>0</v>
      </c>
      <c r="AT14" s="34">
        <f>SUMIF('Rig 111'!$B:$B,Lists!$A$9,'Rig 111'!$C:$C)</f>
        <v>0</v>
      </c>
      <c r="AU14" s="34">
        <f>SUMIF('Rig 111'!$B:$B,Lists!$A$9,'Rig 111'!$E:$E)</f>
        <v>0</v>
      </c>
      <c r="AV14" s="34">
        <f>SUMIF('Rig 111'!$B:$B,Lists!$A$9,'Rig 111'!$F:$F)</f>
        <v>0</v>
      </c>
      <c r="AW14" s="34">
        <f>SUMIF('Rig 111'!$B:$B,Lists!$A$9,'Rig 111'!$G:$G)</f>
        <v>0</v>
      </c>
      <c r="AX14" s="34">
        <f>SUMIF('Rig 111'!$B:$B,Lists!$A$9,'Rig 111'!$H:$H)</f>
        <v>0</v>
      </c>
      <c r="AY14" s="34">
        <f>SUMIF('Rig 111'!$B:$B,Lists!$A$9,'Rig 111'!$I:$I)</f>
        <v>0</v>
      </c>
      <c r="AZ14" s="34">
        <f>SUMIF('Rig 111'!$B:$B,Lists!$A$10,'Rig 111'!$C:$C)</f>
        <v>0</v>
      </c>
      <c r="BA14" s="34">
        <f>SUMIF('Rig 111'!$B:$B,Lists!$A$10,'Rig 111'!$E:$E)</f>
        <v>0</v>
      </c>
      <c r="BB14" s="34">
        <f>SUMIF('Rig 111'!$B:$B,Lists!$A$10,'Rig 111'!$F:$F)</f>
        <v>0</v>
      </c>
      <c r="BC14" s="34">
        <f>SUMIF('Rig 111'!$B:$B,Lists!$A$10,'Rig 111'!$G:$G)</f>
        <v>0</v>
      </c>
      <c r="BD14" s="34">
        <f>SUMIF('Rig 111'!$B:$B,Lists!$A$10,'Rig 111'!$H:$H)</f>
        <v>0</v>
      </c>
      <c r="BE14" s="34">
        <f>SUMIF('Rig 111'!$B:$B,Lists!$A$10,'Rig 111'!$I:$I)</f>
        <v>0</v>
      </c>
      <c r="BF14" s="34">
        <f>SUMIF('Rig 111'!$B:$B,Lists!$A$11,'Rig 111'!$C:$C)</f>
        <v>208</v>
      </c>
      <c r="BG14" s="34">
        <f>SUMIF('Rig 111'!$B:$B,Lists!$A$11,'Rig 111'!$E:$E)</f>
        <v>168</v>
      </c>
      <c r="BH14" s="34">
        <f>SUMIF('Rig 111'!$B:$B,Lists!$A$11,'Rig 111'!$F:$F)</f>
        <v>0</v>
      </c>
      <c r="BI14" s="34">
        <f>SUMIF('Rig 111'!$B:$B,Lists!$A$11,'Rig 111'!$G:$G)</f>
        <v>0</v>
      </c>
      <c r="BJ14" s="34">
        <f>SUMIF('Rig 111'!$B:$B,Lists!$A$11,'Rig 111'!$H:$H)</f>
        <v>15</v>
      </c>
      <c r="BK14" s="34">
        <f>SUMIF('Rig 111'!$B:$B,Lists!$A$11,'Rig 111'!$I:$I)</f>
        <v>0</v>
      </c>
      <c r="BL14" s="34">
        <f>SUMIF('Rig 111'!$B:$B,Lists!$A$12,'Rig 111'!$C:$C)</f>
        <v>0</v>
      </c>
      <c r="BM14" s="34">
        <f>SUMIF('Rig 111'!$B:$B,Lists!$A$12,'Rig 111'!$E:$E)</f>
        <v>0</v>
      </c>
      <c r="BN14" s="34">
        <f>SUMIF('Rig 111'!$B:$B,Lists!$A$12,'Rig 111'!$F:$F)</f>
        <v>0</v>
      </c>
      <c r="BO14" s="34">
        <f>SUMIF('Rig 111'!$B:$B,Lists!$A$12,'Rig 111'!$G:$G)</f>
        <v>0</v>
      </c>
      <c r="BP14" s="34">
        <f>SUMIF('Rig 111'!$B:$B,Lists!$A$12,'Rig 111'!$H:$H)</f>
        <v>0</v>
      </c>
      <c r="BQ14" s="34">
        <f>SUMIF('Rig 111'!$B:$B,Lists!$A$12,'Rig 111'!$I:$I)</f>
        <v>0</v>
      </c>
      <c r="BR14" s="34">
        <f>SUMIF('Rig 111'!$B:$B,Lists!$A$13,'Rig 111'!$C:$C)</f>
        <v>0</v>
      </c>
      <c r="BS14" s="34">
        <f>SUMIF('Rig 111'!$B:$B,Lists!$A$13,'Rig 111'!$E:$E)</f>
        <v>0</v>
      </c>
      <c r="BT14" s="34">
        <f>SUMIF('Rig 111'!$B:$B,Lists!$A$13,'Rig 111'!$F:$F)</f>
        <v>0</v>
      </c>
      <c r="BU14" s="34">
        <f>SUMIF('Rig 111'!$B:$B,Lists!$A$13,'Rig 111'!$G:$G)</f>
        <v>0</v>
      </c>
      <c r="BV14" s="34">
        <f>SUMIF('Rig 111'!$B:$B,Lists!$A$13,'Rig 111'!$H:$H)</f>
        <v>0</v>
      </c>
      <c r="BW14" s="34">
        <f>SUMIF('Rig 111'!$B:$B,Lists!$A$13,'Rig 111'!$I:$I)</f>
        <v>0</v>
      </c>
      <c r="BX14" s="34">
        <f>SUMIF('Rig 111'!$B:$B,Lists!$A$14,'Rig 111'!$C:$C)</f>
        <v>0</v>
      </c>
      <c r="BY14" s="34">
        <f>SUMIF('Rig 111'!$B:$B,Lists!$A$14,'Rig 111'!$E:$E)</f>
        <v>0</v>
      </c>
      <c r="BZ14" s="34">
        <f>SUMIF('Rig 111'!$B:$B,Lists!$A$14,'Rig 111'!$F:$F)</f>
        <v>0</v>
      </c>
      <c r="CA14" s="34">
        <f>SUMIF('Rig 111'!$B:$B,Lists!$A$14,'Rig 111'!$G:$G)</f>
        <v>0</v>
      </c>
      <c r="CB14" s="34">
        <f>SUMIF('Rig 111'!$B:$B,Lists!$A$14,'Rig 111'!$H:$H)</f>
        <v>0</v>
      </c>
      <c r="CC14" s="34">
        <f>SUMIF('Rig 111'!$B:$B,Lists!$A$14,'Rig 111'!$I:$I)</f>
        <v>0</v>
      </c>
      <c r="CD14" s="34">
        <f>SUMIF('Rig 111'!$B:$B,Lists!$A$15,'Rig 111'!$C:$C)</f>
        <v>0</v>
      </c>
      <c r="CE14" s="34">
        <f>SUMIF('Rig 111'!$B:$B,Lists!$A$15,'Rig 111'!$E:$E)</f>
        <v>0</v>
      </c>
      <c r="CF14" s="34">
        <f>SUMIF('Rig 111'!$B:$B,Lists!$A$15,'Rig 111'!$F:$F)</f>
        <v>0</v>
      </c>
      <c r="CG14" s="34">
        <f>SUMIF('Rig 111'!$B:$B,Lists!$A$15,'Rig 111'!$G:$G)</f>
        <v>0</v>
      </c>
      <c r="CH14" s="34">
        <f>SUMIF('Rig 111'!$B:$B,Lists!$A$15,'Rig 111'!$H:$H)</f>
        <v>0</v>
      </c>
      <c r="CI14" s="34">
        <f>SUMIF('Rig 111'!$B:$B,Lists!$A$15,'Rig 111'!$I:$I)</f>
        <v>0</v>
      </c>
      <c r="CJ14" s="34">
        <f>SUMIF('Rig 111'!$B:$B,Lists!$A$16,'Rig 111'!$C:$C)</f>
        <v>0</v>
      </c>
      <c r="CK14" s="34">
        <f>SUMIF('Rig 111'!$B:$B,Lists!$A$16,'Rig 111'!$E:$E)</f>
        <v>0</v>
      </c>
      <c r="CL14" s="34">
        <f>SUMIF('Rig 111'!$B:$B,Lists!$A$16,'Rig 111'!$F:$F)</f>
        <v>0</v>
      </c>
      <c r="CM14" s="34">
        <f>SUMIF('Rig 111'!$B:$B,Lists!$A$16,'Rig 111'!$G:$G)</f>
        <v>0</v>
      </c>
      <c r="CN14" s="34">
        <f>SUMIF('Rig 111'!$B:$B,Lists!$A$16,'Rig 111'!$H:$H)</f>
        <v>0</v>
      </c>
      <c r="CO14" s="34">
        <f>SUMIF('Rig 111'!$B:$B,Lists!$A$16,'Rig 111'!$I:$I)</f>
        <v>0</v>
      </c>
      <c r="CP14" s="34">
        <f>SUMIF('Rig 111'!$B:$B,Lists!$A$17,'Rig 111'!$C:$C)</f>
        <v>0</v>
      </c>
      <c r="CQ14" s="34">
        <f>SUMIF('Rig 111'!$B:$B,Lists!$A$17,'Rig 111'!$E:$E)</f>
        <v>0</v>
      </c>
      <c r="CR14" s="34">
        <f>SUMIF('Rig 111'!$B:$B,Lists!$A$17,'Rig 111'!$F:$F)</f>
        <v>0</v>
      </c>
      <c r="CS14" s="34">
        <f>SUMIF('Rig 111'!$B:$B,Lists!$A$17,'Rig 111'!$G:$G)</f>
        <v>0</v>
      </c>
      <c r="CT14" s="34">
        <f>SUMIF('Rig 111'!$B:$B,Lists!$A$17,'Rig 111'!$H:$H)</f>
        <v>0</v>
      </c>
      <c r="CU14" s="34">
        <f>SUMIF('Rig 111'!$B:$B,Lists!$A$17,'Rig 111'!$I:$I)</f>
        <v>0</v>
      </c>
      <c r="CV14" s="34">
        <f>SUMIF('Rig 111'!$B:$B,Lists!$A$18,'Rig 111'!$C:$C)</f>
        <v>40</v>
      </c>
      <c r="CW14" s="34">
        <f>SUMIF('Rig 111'!$B:$B,Lists!$A$18,'Rig 111'!$E:$E)</f>
        <v>40</v>
      </c>
      <c r="CX14" s="34">
        <f>SUMIF('Rig 111'!$B:$B,Lists!$A$18,'Rig 111'!$F:$F)</f>
        <v>0</v>
      </c>
      <c r="CY14" s="34">
        <f>SUMIF('Rig 111'!$B:$B,Lists!$A$18,'Rig 111'!$G:$G)</f>
        <v>0</v>
      </c>
      <c r="CZ14" s="34">
        <f>SUMIF('Rig 111'!$B:$B,Lists!$A$18,'Rig 111'!$H:$H)</f>
        <v>0</v>
      </c>
      <c r="DA14" s="34">
        <f>SUMIF('Rig 111'!$B:$B,Lists!$A$18,'Rig 111'!$I:$I)</f>
        <v>0</v>
      </c>
      <c r="DB14" s="34">
        <f>SUMIF('Rig 111'!$B:$B,Lists!$A$19,'Rig 111'!$C:$C)</f>
        <v>40</v>
      </c>
      <c r="DC14" s="34">
        <f>SUMIF('Rig 111'!$B:$B,Lists!$A$19,'Rig 111'!$E:$E)</f>
        <v>28</v>
      </c>
      <c r="DD14" s="34">
        <f>SUMIF('Rig 111'!$B:$B,Lists!$A$19,'Rig 111'!$F:$F)</f>
        <v>0</v>
      </c>
      <c r="DE14" s="34">
        <f>SUMIF('Rig 111'!$B:$B,Lists!$A$19,'Rig 111'!$G:$G)</f>
        <v>0</v>
      </c>
      <c r="DF14" s="34">
        <f>SUMIF('Rig 111'!$B:$B,Lists!$A$19,'Rig 111'!$H:$H)</f>
        <v>0</v>
      </c>
      <c r="DG14" s="34">
        <f>SUMIF('Rig 111'!$B:$B,Lists!$A$19,'Rig 111'!$I:$I)</f>
        <v>0</v>
      </c>
      <c r="DH14" s="34">
        <f>SUMIF('Rig 111'!$B:$B,Lists!$A$20,'Rig 111'!$C:$C)</f>
        <v>0</v>
      </c>
      <c r="DI14" s="34">
        <f>SUMIF('Rig 111'!$B:$B,Lists!$A$20,'Rig 111'!$E:$E)</f>
        <v>0</v>
      </c>
      <c r="DJ14" s="34">
        <f>SUMIF('Rig 111'!$B:$B,Lists!$A$20,'Rig 111'!$F:$F)</f>
        <v>0</v>
      </c>
      <c r="DK14" s="34">
        <f>SUMIF('Rig 111'!$B:$B,Lists!$A$20,'Rig 111'!$G:$G)</f>
        <v>0</v>
      </c>
      <c r="DL14" s="34">
        <f>SUMIF('Rig 111'!$B:$B,Lists!$A$20,'Rig 111'!$H:$H)</f>
        <v>0</v>
      </c>
      <c r="DM14" s="34">
        <f>SUMIF('Rig 111'!$B:$B,Lists!$A$20,'Rig 111'!$I:$I)</f>
        <v>0</v>
      </c>
      <c r="DN14" s="34">
        <f>SUMIF('Rig 111'!$B:$B,Lists!$A$21,'Rig 111'!$C:$C)</f>
        <v>0</v>
      </c>
      <c r="DO14" s="34">
        <f>SUMIF('Rig 111'!$B:$B,Lists!$A$21,'Rig 111'!$E:$E)</f>
        <v>0</v>
      </c>
      <c r="DP14" s="34">
        <f>SUMIF('Rig 111'!$B:$B,Lists!$A$21,'Rig 111'!$F:$F)</f>
        <v>0</v>
      </c>
      <c r="DQ14" s="34">
        <f>SUMIF('Rig 111'!$B:$B,Lists!$A$21,'Rig 111'!$G:$G)</f>
        <v>0</v>
      </c>
      <c r="DR14" s="34">
        <f>SUMIF('Rig 111'!$B:$B,Lists!$A$21,'Rig 111'!$H:$H)</f>
        <v>0</v>
      </c>
      <c r="DS14" s="34">
        <f>SUMIF('Rig 111'!$B:$B,Lists!$A$21,'Rig 111'!$I:$I)</f>
        <v>0</v>
      </c>
      <c r="DT14" s="34">
        <f>SUMIF('Rig 111'!$B:$B,Lists!$A$22,'Rig 111'!$C:$C)</f>
        <v>3</v>
      </c>
      <c r="DU14" s="34">
        <f>SUMIF('Rig 111'!$B:$B,Lists!$A$22,'Rig 111'!$E:$E)</f>
        <v>3</v>
      </c>
      <c r="DV14" s="34">
        <f>SUMIF('Rig 111'!$B:$B,Lists!$A$22,'Rig 111'!$F:$F)</f>
        <v>0</v>
      </c>
      <c r="DW14" s="34">
        <f>SUMIF('Rig 111'!$B:$B,Lists!$A$22,'Rig 111'!$G:$G)</f>
        <v>0</v>
      </c>
      <c r="DX14" s="34">
        <f>SUMIF('Rig 111'!$B:$B,Lists!$A$22,'Rig 111'!$H:$H)</f>
        <v>0</v>
      </c>
      <c r="DY14" s="34">
        <f>SUMIF('Rig 111'!$B:$B,Lists!$A$22,'Rig 111'!$I:$I)</f>
        <v>0</v>
      </c>
      <c r="DZ14" s="34">
        <f>SUMIF('Rig 111'!$B:$B,Lists!$A$23,'Rig 111'!$C:$C)</f>
        <v>0</v>
      </c>
      <c r="EA14" s="34">
        <f>SUMIF('Rig 111'!$B:$B,Lists!$A$23,'Rig 111'!$E:$E)</f>
        <v>0</v>
      </c>
      <c r="EB14" s="34">
        <f>SUMIF('Rig 111'!$B:$B,Lists!$A$23,'Rig 111'!$F:$F)</f>
        <v>0</v>
      </c>
      <c r="EC14" s="34">
        <f>SUMIF('Rig 111'!$B:$B,Lists!$A$23,'Rig 111'!$G:$G)</f>
        <v>0</v>
      </c>
      <c r="ED14" s="34">
        <f>SUMIF('Rig 111'!$B:$B,Lists!$A$23,'Rig 111'!$H:$H)</f>
        <v>0</v>
      </c>
      <c r="EE14" s="34">
        <f>SUMIF('Rig 111'!$B:$B,Lists!$A$23,'Rig 111'!$I:$I)</f>
        <v>0</v>
      </c>
      <c r="EF14" s="34">
        <f>SUMIF('Rig 111'!$B:$B,Lists!$A$24,'Rig 111'!$C:$C)</f>
        <v>20</v>
      </c>
      <c r="EG14" s="34">
        <f>SUMIF('Rig 111'!$B:$B,Lists!$A$24,'Rig 111'!$E:$E)</f>
        <v>16</v>
      </c>
      <c r="EH14" s="34">
        <f>SUMIF('Rig 111'!$B:$B,Lists!$A$24,'Rig 111'!$F:$F)</f>
        <v>0</v>
      </c>
      <c r="EI14" s="34">
        <f>SUMIF('Rig 111'!$B:$B,Lists!$A$24,'Rig 111'!$G:$G)</f>
        <v>0</v>
      </c>
      <c r="EJ14" s="34">
        <f>SUMIF('Rig 111'!$B:$B,Lists!$A$24,'Rig 111'!$H:$H)</f>
        <v>0</v>
      </c>
      <c r="EK14" s="34">
        <f>SUMIF('Rig 111'!$B:$B,Lists!$A$24,'Rig 111'!$I:$I)</f>
        <v>0</v>
      </c>
      <c r="EL14" s="34">
        <f>SUMIF('Rig 111'!$B:$B,Lists!$A$25,'Rig 111'!$C:$C)</f>
        <v>12</v>
      </c>
      <c r="EM14" s="34">
        <f>SUMIF('Rig 111'!$B:$B,Lists!$A$25,'Rig 111'!$E:$E)</f>
        <v>10</v>
      </c>
      <c r="EN14" s="34">
        <f>SUMIF('Rig 111'!$B:$B,Lists!$A$25,'Rig 111'!$F:$F)</f>
        <v>0</v>
      </c>
      <c r="EO14" s="34">
        <f>SUMIF('Rig 111'!$B:$B,Lists!$A$25,'Rig 111'!$G:$G)</f>
        <v>0</v>
      </c>
      <c r="EP14" s="34">
        <f>SUMIF('Rig 111'!$B:$B,Lists!$A$25,'Rig 111'!$H:$H)</f>
        <v>2</v>
      </c>
      <c r="EQ14" s="34">
        <f>SUMIF('Rig 111'!$B:$B,Lists!$A$25,'Rig 111'!$I:$I)</f>
        <v>0</v>
      </c>
      <c r="ER14" s="34">
        <f>SUMIF('Rig 111'!$B:$B,Lists!$A$26,'Rig 111'!$C:$C)</f>
        <v>0</v>
      </c>
      <c r="ES14" s="34">
        <f>SUMIF('Rig 111'!$B:$B,Lists!$A$26,'Rig 111'!$E:$E)</f>
        <v>0</v>
      </c>
      <c r="ET14" s="34">
        <f>SUMIF('Rig 111'!$B:$B,Lists!$A$26,'Rig 111'!$F:$F)</f>
        <v>0</v>
      </c>
      <c r="EU14" s="34">
        <f>SUMIF('Rig 111'!$B:$B,Lists!$A$26,'Rig 111'!$G:$G)</f>
        <v>0</v>
      </c>
      <c r="EV14" s="34">
        <f>SUMIF('Rig 111'!$B:$B,Lists!$A$26,'Rig 111'!$H:$H)</f>
        <v>0</v>
      </c>
      <c r="EW14" s="34">
        <f>SUMIF('Rig 111'!$B:$B,Lists!$A$26,'Rig 111'!$I:$I)</f>
        <v>0</v>
      </c>
      <c r="EX14" s="34">
        <f>SUMIF('Rig 111'!$B:$B,Lists!$A$27,'Rig 111'!$C:$C)</f>
        <v>0</v>
      </c>
      <c r="EY14" s="34">
        <f>SUMIF('Rig 111'!$B:$B,Lists!$A$27,'Rig 111'!$E:$E)</f>
        <v>0</v>
      </c>
      <c r="EZ14" s="34">
        <f>SUMIF('Rig 111'!$B:$B,Lists!$A$27,'Rig 111'!$F:$F)</f>
        <v>0</v>
      </c>
      <c r="FA14" s="34">
        <f>SUMIF('Rig 111'!$B:$B,Lists!$A$27,'Rig 111'!$G:$G)</f>
        <v>0</v>
      </c>
      <c r="FB14" s="34">
        <f>SUMIF('Rig 111'!$B:$B,Lists!$A$27,'Rig 111'!$H:$H)</f>
        <v>0</v>
      </c>
      <c r="FC14" s="34">
        <f>SUMIF('Rig 111'!$B:$B,Lists!$A$27,'Rig 111'!$I:$I)</f>
        <v>0</v>
      </c>
      <c r="FD14" s="34">
        <f>SUMIF('Rig 111'!$B:$B,Lists!$A$28,'Rig 111'!$C:$C)</f>
        <v>0</v>
      </c>
      <c r="FE14" s="34">
        <f>SUMIF('Rig 111'!$B:$B,Lists!$A$28,'Rig 111'!$E:$E)</f>
        <v>0</v>
      </c>
      <c r="FF14" s="34">
        <f>SUMIF('Rig 111'!$B:$B,Lists!$A$28,'Rig 111'!$F:$F)</f>
        <v>0</v>
      </c>
      <c r="FG14" s="34">
        <f>SUMIF('Rig 111'!$B:$B,Lists!$A$28,'Rig 111'!$G:$G)</f>
        <v>0</v>
      </c>
      <c r="FH14" s="34">
        <f>SUMIF('Rig 111'!$B:$B,Lists!$A$28,'Rig 111'!$H:$H)</f>
        <v>0</v>
      </c>
      <c r="FI14" s="34">
        <f>SUMIF('Rig 111'!$B:$B,Lists!$A$28,'Rig 111'!$I:$I)</f>
        <v>0</v>
      </c>
      <c r="FJ14" s="34">
        <f>SUMIF('Rig 111'!$B:$B,Lists!$A$29,'Rig 111'!$C:$C)</f>
        <v>12</v>
      </c>
      <c r="FK14" s="34">
        <f>SUMIF('Rig 111'!$B:$B,Lists!$A$29,'Rig 111'!$E:$E)</f>
        <v>11</v>
      </c>
      <c r="FL14" s="34">
        <f>SUMIF('Rig 111'!$B:$B,Lists!$A$29,'Rig 111'!$F:$F)</f>
        <v>0</v>
      </c>
      <c r="FM14" s="34">
        <f>SUMIF('Rig 111'!$B:$B,Lists!$A$29,'Rig 111'!$G:$G)</f>
        <v>0</v>
      </c>
      <c r="FN14" s="34">
        <f>SUMIF('Rig 111'!$B:$B,Lists!$A$29,'Rig 111'!$H:$H)</f>
        <v>0</v>
      </c>
      <c r="FO14" s="34">
        <f>SUMIF('Rig 111'!$B:$B,Lists!$A$29,'Rig 111'!$I:$I)</f>
        <v>0</v>
      </c>
      <c r="FP14" s="34">
        <f>SUMIF('Rig 111'!$B:$B,Lists!$A$30,'Rig 111'!$C:$C)</f>
        <v>0</v>
      </c>
      <c r="FQ14" s="34">
        <f>SUMIF('Rig 111'!$B:$B,Lists!$A$30,'Rig 111'!$E:$E)</f>
        <v>0</v>
      </c>
      <c r="FR14" s="34">
        <f>SUMIF('Rig 111'!$B:$B,Lists!$A$30,'Rig 111'!$F:$F)</f>
        <v>0</v>
      </c>
      <c r="FS14" s="34">
        <f>SUMIF('Rig 111'!$B:$B,Lists!$A$30,'Rig 111'!$G:$G)</f>
        <v>0</v>
      </c>
      <c r="FT14" s="34">
        <f>SUMIF('Rig 111'!$B:$B,Lists!$A$30,'Rig 111'!$H:$H)</f>
        <v>0</v>
      </c>
      <c r="FU14" s="34">
        <f>SUMIF('Rig 111'!$B:$B,Lists!$A$30,'Rig 111'!$I:$I)</f>
        <v>0</v>
      </c>
      <c r="FV14" s="34">
        <f>SUMIF('Rig 111'!$B:$B,Lists!$A$31,'Rig 111'!$C:$C)</f>
        <v>0</v>
      </c>
      <c r="FW14" s="34">
        <f>SUMIF('Rig 111'!$B:$B,Lists!$A$31,'Rig 111'!$E:$E)</f>
        <v>0</v>
      </c>
      <c r="FX14" s="34">
        <f>SUMIF('Rig 111'!$B:$B,Lists!$A$31,'Rig 111'!$F:$F)</f>
        <v>0</v>
      </c>
      <c r="FY14" s="34">
        <f>SUMIF('Rig 111'!$B:$B,Lists!$A$31,'Rig 111'!$G:$G)</f>
        <v>0</v>
      </c>
      <c r="FZ14" s="34">
        <f>SUMIF('Rig 111'!$B:$B,Lists!$A$31,'Rig 111'!$H:$H)</f>
        <v>0</v>
      </c>
      <c r="GA14" s="34">
        <f>SUMIF('Rig 111'!$B:$B,Lists!$A$31,'Rig 111'!$I:$I)</f>
        <v>0</v>
      </c>
      <c r="GB14" s="34">
        <f>SUMIF('Rig 111'!$B:$B,Lists!$A$32,'Rig 111'!$C:$C)</f>
        <v>0</v>
      </c>
      <c r="GC14" s="34">
        <f>SUMIF('Rig 111'!$B:$B,Lists!$A$32,'Rig 111'!$E:$E)</f>
        <v>0</v>
      </c>
      <c r="GD14" s="34">
        <f>SUMIF('Rig 111'!$B:$B,Lists!$A$32,'Rig 111'!$F:$F)</f>
        <v>0</v>
      </c>
      <c r="GE14" s="34">
        <f>SUMIF('Rig 111'!$B:$B,Lists!$A$32,'Rig 111'!$G:$G)</f>
        <v>0</v>
      </c>
      <c r="GF14" s="34">
        <f>SUMIF('Rig 111'!$B:$B,Lists!$A$32,'Rig 111'!$H:$H)</f>
        <v>0</v>
      </c>
      <c r="GG14" s="34">
        <f>SUMIF('Rig 111'!$B:$B,Lists!$A$32,'Rig 111'!$I:$I)</f>
        <v>0</v>
      </c>
      <c r="GH14" s="34">
        <f>SUMIF('Rig 111'!$B:$B,Lists!$A$33,'Rig 111'!$C:$C)</f>
        <v>0</v>
      </c>
      <c r="GI14" s="34">
        <f>SUMIF('Rig 111'!$B:$B,Lists!$A$33,'Rig 111'!$E:$E)</f>
        <v>0</v>
      </c>
      <c r="GJ14" s="34">
        <f>SUMIF('Rig 111'!$B:$B,Lists!$A$33,'Rig 111'!$F:$F)</f>
        <v>0</v>
      </c>
      <c r="GK14" s="34">
        <f>SUMIF('Rig 111'!$B:$B,Lists!$A$33,'Rig 111'!$G:$G)</f>
        <v>0</v>
      </c>
      <c r="GL14" s="34">
        <f>SUMIF('Rig 111'!$B:$B,Lists!$A$33,'Rig 111'!$H:$H)</f>
        <v>0</v>
      </c>
      <c r="GM14" s="34">
        <f>SUMIF('Rig 111'!$B:$B,Lists!$A$33,'Rig 111'!$I:$I)</f>
        <v>0</v>
      </c>
      <c r="GN14" s="34">
        <f>SUMIF('Rig 111'!$B:$B,Lists!$A$34,'Rig 111'!$C:$C)</f>
        <v>3</v>
      </c>
      <c r="GO14" s="34">
        <f>SUMIF('Rig 111'!$B:$B,Lists!$A$34,'Rig 111'!$E:$E)</f>
        <v>6</v>
      </c>
      <c r="GP14" s="34">
        <f>SUMIF('Rig 111'!$B:$B,Lists!$A$34,'Rig 111'!$F:$F)</f>
        <v>0</v>
      </c>
      <c r="GQ14" s="34">
        <f>SUMIF('Rig 111'!$B:$B,Lists!$A$34,'Rig 111'!$G:$G)</f>
        <v>0</v>
      </c>
      <c r="GR14" s="34">
        <f>SUMIF('Rig 111'!$B:$B,Lists!$A$34,'Rig 111'!$H:$H)</f>
        <v>0</v>
      </c>
      <c r="GS14" s="34">
        <f>SUMIF('Rig 111'!$B:$B,Lists!$A$34,'Rig 111'!$I:$I)</f>
        <v>0</v>
      </c>
      <c r="GT14" s="34">
        <f>SUMIF('Rig 111'!$B:$B,Lists!$A$35,'Rig 111'!$C:$C)</f>
        <v>0</v>
      </c>
      <c r="GU14" s="34">
        <f>SUMIF('Rig 111'!$B:$B,Lists!$A$35,'Rig 111'!$E:$E)</f>
        <v>0</v>
      </c>
      <c r="GV14" s="34">
        <f>SUMIF('Rig 111'!$B:$B,Lists!$A$35,'Rig 111'!$F:$F)</f>
        <v>0</v>
      </c>
      <c r="GW14" s="34">
        <f>SUMIF('Rig 111'!$B:$B,Lists!$A$35,'Rig 111'!$G:$G)</f>
        <v>0</v>
      </c>
      <c r="GX14" s="34">
        <f>SUMIF('Rig 111'!$B:$B,Lists!$A$35,'Rig 111'!$H:$H)</f>
        <v>0</v>
      </c>
      <c r="GY14" s="34">
        <f>SUMIF('Rig 111'!$B:$B,Lists!$A$35,'Rig 111'!$I:$I)</f>
        <v>0</v>
      </c>
      <c r="GZ14" s="34">
        <f>SUMIF('Rig 111'!$B:$B,Lists!$A$36,'Rig 111'!$C:$C)</f>
        <v>0</v>
      </c>
      <c r="HA14" s="34">
        <f>SUMIF('Rig 111'!$B:$B,Lists!$A$36,'Rig 111'!$E:$E)</f>
        <v>0</v>
      </c>
      <c r="HB14" s="34">
        <f>SUMIF('Rig 111'!$B:$B,Lists!$A$36,'Rig 111'!$F:$F)</f>
        <v>0</v>
      </c>
      <c r="HC14" s="34">
        <f>SUMIF('Rig 111'!$B:$B,Lists!$A$36,'Rig 111'!$G:$G)</f>
        <v>0</v>
      </c>
      <c r="HD14" s="34">
        <f>SUMIF('Rig 111'!$B:$B,Lists!$A$36,'Rig 111'!$H:$H)</f>
        <v>0</v>
      </c>
      <c r="HE14" s="34">
        <f>SUMIF('Rig 111'!$B:$B,Lists!$A$36,'Rig 111'!$I:$I)</f>
        <v>0</v>
      </c>
      <c r="HF14" s="34">
        <f>SUMIF('Rig 111'!$B:$B,Lists!$A$37,'Rig 111'!$C:$C)</f>
        <v>0</v>
      </c>
      <c r="HG14" s="34">
        <f>SUMIF('Rig 111'!$B:$B,Lists!$A$37,'Rig 111'!$E:$E)</f>
        <v>0</v>
      </c>
      <c r="HH14" s="34">
        <f>SUMIF('Rig 111'!$B:$B,Lists!$A$37,'Rig 111'!$F:$F)</f>
        <v>0</v>
      </c>
      <c r="HI14" s="34">
        <f>SUMIF('Rig 111'!$B:$B,Lists!$A$37,'Rig 111'!$G:$G)</f>
        <v>0</v>
      </c>
      <c r="HJ14" s="34">
        <f>SUMIF('Rig 111'!$B:$B,Lists!$A$37,'Rig 111'!$H:$H)</f>
        <v>0</v>
      </c>
      <c r="HK14" s="34">
        <f>SUMIF('Rig 111'!$B:$B,Lists!$A$37,'Rig 111'!$I:$I)</f>
        <v>0</v>
      </c>
      <c r="HL14" s="34">
        <f>SUMIF('Rig 111'!$B:$B,Lists!$A$38,'Rig 111'!$C:$C)</f>
        <v>0</v>
      </c>
      <c r="HM14" s="34">
        <f>SUMIF('Rig 111'!$B:$B,Lists!$A$38,'Rig 111'!$E:$E)</f>
        <v>0</v>
      </c>
      <c r="HN14" s="34">
        <f>SUMIF('Rig 111'!$B:$B,Lists!$A$38,'Rig 111'!$F:$F)</f>
        <v>0</v>
      </c>
      <c r="HO14" s="34">
        <f>SUMIF('Rig 111'!$B:$B,Lists!$A$38,'Rig 111'!$G:$G)</f>
        <v>0</v>
      </c>
      <c r="HP14" s="34">
        <f>SUMIF('Rig 111'!$B:$B,Lists!$A$38,'Rig 111'!$H:$H)</f>
        <v>0</v>
      </c>
      <c r="HQ14" s="34">
        <f>SUMIF('Rig 111'!$B:$B,Lists!$A$38,'Rig 111'!$I:$I)</f>
        <v>0</v>
      </c>
      <c r="HR14" s="34">
        <f>SUMIF('Rig 111'!$B:$B,Lists!$A$39,'Rig 111'!$C:$C)</f>
        <v>3</v>
      </c>
      <c r="HS14" s="34">
        <f>SUMIF('Rig 111'!$B:$B,Lists!$A$39,'Rig 111'!$E:$E)</f>
        <v>6</v>
      </c>
      <c r="HT14" s="34">
        <f>SUMIF('Rig 111'!$B:$B,Lists!$A$39,'Rig 111'!$F:$F)</f>
        <v>0</v>
      </c>
      <c r="HU14" s="34">
        <f>SUMIF('Rig 111'!$B:$B,Lists!$A$39,'Rig 111'!$G:$G)</f>
        <v>0</v>
      </c>
      <c r="HV14" s="34">
        <f>SUMIF('Rig 111'!$B:$B,Lists!$A$39,'Rig 111'!$H:$H)</f>
        <v>0</v>
      </c>
      <c r="HW14" s="34">
        <f>SUMIF('Rig 111'!$B:$B,Lists!$A$39,'Rig 111'!$I:$I)</f>
        <v>0</v>
      </c>
      <c r="HX14" s="34">
        <f>SUMIF('Rig 111'!$B:$B,Lists!$A$40,'Rig 111'!$C:$C)</f>
        <v>0</v>
      </c>
      <c r="HY14" s="34">
        <f>SUMIF('Rig 111'!$B:$B,Lists!$A$40,'Rig 111'!$E:$E)</f>
        <v>0</v>
      </c>
      <c r="HZ14" s="34">
        <f>SUMIF('Rig 111'!$B:$B,Lists!$A$40,'Rig 111'!$F:$F)</f>
        <v>0</v>
      </c>
      <c r="IA14" s="34">
        <f>SUMIF('Rig 111'!$B:$B,Lists!$A$40,'Rig 111'!$G:$G)</f>
        <v>0</v>
      </c>
      <c r="IB14" s="34">
        <f>SUMIF('Rig 111'!$B:$B,Lists!$A$40,'Rig 111'!$H:$H)</f>
        <v>0</v>
      </c>
      <c r="IC14" s="34">
        <f>SUMIF('Rig 111'!$B:$B,Lists!$A$40,'Rig 111'!$I:$I)</f>
        <v>0</v>
      </c>
      <c r="ID14" s="34">
        <f>SUMIF('Rig 111'!$B:$B,Lists!$A$41,'Rig 111'!$C:$C)</f>
        <v>0</v>
      </c>
      <c r="IE14" s="34">
        <f>SUMIF('Rig 111'!$B:$B,Lists!$A$41,'Rig 111'!$E:$E)</f>
        <v>0</v>
      </c>
      <c r="IF14" s="34">
        <f>SUMIF('Rig 111'!$B:$B,Lists!$A$41,'Rig 111'!$F:$F)</f>
        <v>0</v>
      </c>
      <c r="IG14" s="34">
        <f>SUMIF('Rig 111'!$B:$B,Lists!$A$41,'Rig 111'!$G:$G)</f>
        <v>0</v>
      </c>
      <c r="IH14" s="34">
        <f>SUMIF('Rig 111'!$B:$B,Lists!$A$41,'Rig 111'!$H:$H)</f>
        <v>0</v>
      </c>
      <c r="II14" s="34">
        <f>SUMIF('Rig 111'!$B:$B,Lists!$A$41,'Rig 111'!$I:$I)</f>
        <v>0</v>
      </c>
    </row>
    <row r="15" spans="1:243" ht="19.5" customHeight="1" x14ac:dyDescent="0.3">
      <c r="A15" s="31" t="s">
        <v>86</v>
      </c>
      <c r="B15" s="32">
        <f>'Rig 201'!D2</f>
        <v>46143</v>
      </c>
      <c r="C15" s="33" t="s">
        <v>77</v>
      </c>
      <c r="D15" s="34">
        <f>SUMIF('Rig 201'!$B:$B,Lists!$A$2,'Rig 201'!$C:$C)</f>
        <v>0</v>
      </c>
      <c r="E15" s="34">
        <f>SUMIF('Rig 201'!$B:$B,Lists!$A$2,'Rig 201'!$E:$E)</f>
        <v>0</v>
      </c>
      <c r="F15" s="34">
        <f>SUMIF('Rig 201'!$B:$B,Lists!$A$2,'Rig 201'!$F:$F)</f>
        <v>0</v>
      </c>
      <c r="G15" s="34">
        <f>SUMIF('Rig 201'!$B:$B,Lists!$A$2,'Rig 201'!$G:$G)</f>
        <v>0</v>
      </c>
      <c r="H15" s="34">
        <f>SUMIF('Rig 201'!$B:$B,Lists!$A$2,'Rig 201'!$H:$H)</f>
        <v>0</v>
      </c>
      <c r="I15" s="34">
        <f>SUMIF('Rig 201'!$B:$B,Lists!$A$2,'Rig 201'!$I:$I)</f>
        <v>0</v>
      </c>
      <c r="J15" s="34">
        <f>SUMIF('Rig 201'!$B:$B,Lists!$A$3,'Rig 201'!$C:$C)</f>
        <v>0</v>
      </c>
      <c r="K15" s="34">
        <f>SUMIF('Rig 201'!$B:$B,Lists!$A$3,'Rig 201'!$E:$E)</f>
        <v>0</v>
      </c>
      <c r="L15" s="34">
        <f>SUMIF('Rig 201'!$B:$B,Lists!$A$3,'Rig 201'!$F:$F)</f>
        <v>0</v>
      </c>
      <c r="M15" s="34">
        <f>SUMIF('Rig 201'!$B:$B,Lists!$A$3,'Rig 201'!$G:$G)</f>
        <v>0</v>
      </c>
      <c r="N15" s="34">
        <f>SUMIF('Rig 201'!$B:$B,Lists!$A$3,'Rig 201'!$H:$H)</f>
        <v>0</v>
      </c>
      <c r="O15" s="34">
        <f>SUMIF('Rig 201'!$B:$B,Lists!$A$3,'Rig 201'!$I:$I)</f>
        <v>0</v>
      </c>
      <c r="P15" s="34">
        <f>SUMIF('Rig 201'!$B:$B,Lists!$A$4,'Rig 201'!$C:$C)</f>
        <v>0</v>
      </c>
      <c r="Q15" s="34">
        <f>SUMIF('Rig 201'!$B:$B,Lists!$A$4,'Rig 201'!$E:$E)</f>
        <v>0</v>
      </c>
      <c r="R15" s="34">
        <f>SUMIF('Rig 201'!$B:$B,Lists!$A$4,'Rig 201'!$F:$F)</f>
        <v>0</v>
      </c>
      <c r="S15" s="34">
        <f>SUMIF('Rig 201'!$B:$B,Lists!$A$4,'Rig 201'!$G:$G)</f>
        <v>0</v>
      </c>
      <c r="T15" s="34">
        <f>SUMIF('Rig 201'!$B:$B,Lists!$A$4,'Rig 201'!$H:$H)</f>
        <v>0</v>
      </c>
      <c r="U15" s="34">
        <f>SUMIF('Rig 201'!$B:$B,Lists!$A$4,'Rig 201'!$I:$I)</f>
        <v>0</v>
      </c>
      <c r="V15" s="34">
        <f>SUMIF('Rig 201'!$B:$B,Lists!$A$5,'Rig 201'!$C:$C)</f>
        <v>210</v>
      </c>
      <c r="W15" s="34">
        <f>SUMIF('Rig 201'!$B:$B,Lists!$A$5,'Rig 201'!$E:$E)</f>
        <v>196</v>
      </c>
      <c r="X15" s="34">
        <f>SUMIF('Rig 201'!$B:$B,Lists!$A$5,'Rig 201'!$F:$F)</f>
        <v>0</v>
      </c>
      <c r="Y15" s="34">
        <f>SUMIF('Rig 201'!$B:$B,Lists!$A$5,'Rig 201'!$G:$G)</f>
        <v>0</v>
      </c>
      <c r="Z15" s="34">
        <f>SUMIF('Rig 201'!$B:$B,Lists!$A$5,'Rig 201'!$H:$H)</f>
        <v>0</v>
      </c>
      <c r="AA15" s="34">
        <f>SUMIF('Rig 201'!$B:$B,Lists!$A$5,'Rig 201'!$I:$I)</f>
        <v>14</v>
      </c>
      <c r="AB15" s="34">
        <f>SUMIF('Rig 201'!$B:$B,Lists!$A$6,'Rig 201'!$C:$C)</f>
        <v>0</v>
      </c>
      <c r="AC15" s="34">
        <f>SUMIF('Rig 201'!$B:$B,Lists!$A$6,'Rig 201'!$E:$E)</f>
        <v>0</v>
      </c>
      <c r="AD15" s="34">
        <f>SUMIF('Rig 201'!$B:$B,Lists!$A$6,'Rig 201'!$F:$F)</f>
        <v>0</v>
      </c>
      <c r="AE15" s="34">
        <f>SUMIF('Rig 201'!$B:$B,Lists!$A$6,'Rig 201'!$G:$G)</f>
        <v>0</v>
      </c>
      <c r="AF15" s="34">
        <f>SUMIF('Rig 201'!$B:$B,Lists!$A$6,'Rig 201'!$H:$H)</f>
        <v>0</v>
      </c>
      <c r="AG15" s="34">
        <f>SUMIF('Rig 201'!$B:$B,Lists!$A$6,'Rig 201'!$I:$I)</f>
        <v>0</v>
      </c>
      <c r="AH15" s="34">
        <f>SUMIF('Rig 201'!$B:$B,Lists!$A$7,'Rig 201'!$C:$C)</f>
        <v>0</v>
      </c>
      <c r="AI15" s="34">
        <f>SUMIF('Rig 201'!$B:$B,Lists!$A$7,'Rig 201'!$E:$E)</f>
        <v>0</v>
      </c>
      <c r="AJ15" s="34">
        <f>SUMIF('Rig 201'!$B:$B,Lists!$A$7,'Rig 201'!$F:$F)</f>
        <v>0</v>
      </c>
      <c r="AK15" s="34">
        <f>SUMIF('Rig 201'!$B:$B,Lists!$A$7,'Rig 201'!$G:$G)</f>
        <v>0</v>
      </c>
      <c r="AL15" s="34">
        <f>SUMIF('Rig 201'!$B:$B,Lists!$A$7,'Rig 201'!$H:$H)</f>
        <v>0</v>
      </c>
      <c r="AM15" s="34">
        <f>SUMIF('Rig 201'!$B:$B,Lists!$A$7,'Rig 201'!$I:$I)</f>
        <v>0</v>
      </c>
      <c r="AN15" s="34">
        <f>SUMIF('Rig 201'!$B:$B,Lists!$A$8,'Rig 201'!$C:$C)</f>
        <v>0</v>
      </c>
      <c r="AO15" s="34">
        <f>SUMIF('Rig 201'!$B:$B,Lists!$A$8,'Rig 201'!$E:$E)</f>
        <v>0</v>
      </c>
      <c r="AP15" s="34">
        <f>SUMIF('Rig 201'!$B:$B,Lists!$A$8,'Rig 201'!$F:$F)</f>
        <v>0</v>
      </c>
      <c r="AQ15" s="34">
        <f>SUMIF('Rig 201'!$B:$B,Lists!$A$8,'Rig 201'!$G:$G)</f>
        <v>0</v>
      </c>
      <c r="AR15" s="34">
        <f>SUMIF('Rig 201'!$B:$B,Lists!$A$8,'Rig 201'!$H:$H)</f>
        <v>0</v>
      </c>
      <c r="AS15" s="34">
        <f>SUMIF('Rig 201'!$B:$B,Lists!$A$8,'Rig 201'!$I:$I)</f>
        <v>0</v>
      </c>
      <c r="AT15" s="34">
        <f>SUMIF('Rig 201'!$B:$B,Lists!$A$9,'Rig 201'!$C:$C)</f>
        <v>0</v>
      </c>
      <c r="AU15" s="34">
        <f>SUMIF('Rig 201'!$B:$B,Lists!$A$9,'Rig 201'!$E:$E)</f>
        <v>0</v>
      </c>
      <c r="AV15" s="34">
        <f>SUMIF('Rig 201'!$B:$B,Lists!$A$9,'Rig 201'!$F:$F)</f>
        <v>0</v>
      </c>
      <c r="AW15" s="34">
        <f>SUMIF('Rig 201'!$B:$B,Lists!$A$9,'Rig 201'!$G:$G)</f>
        <v>0</v>
      </c>
      <c r="AX15" s="34">
        <f>SUMIF('Rig 201'!$B:$B,Lists!$A$9,'Rig 201'!$H:$H)</f>
        <v>0</v>
      </c>
      <c r="AY15" s="34">
        <f>SUMIF('Rig 201'!$B:$B,Lists!$A$9,'Rig 201'!$I:$I)</f>
        <v>0</v>
      </c>
      <c r="AZ15" s="34">
        <f>SUMIF('Rig 201'!$B:$B,Lists!$A$10,'Rig 201'!$C:$C)</f>
        <v>0</v>
      </c>
      <c r="BA15" s="34">
        <f>SUMIF('Rig 201'!$B:$B,Lists!$A$10,'Rig 201'!$E:$E)</f>
        <v>0</v>
      </c>
      <c r="BB15" s="34">
        <f>SUMIF('Rig 201'!$B:$B,Lists!$A$10,'Rig 201'!$F:$F)</f>
        <v>0</v>
      </c>
      <c r="BC15" s="34">
        <f>SUMIF('Rig 201'!$B:$B,Lists!$A$10,'Rig 201'!$G:$G)</f>
        <v>0</v>
      </c>
      <c r="BD15" s="34">
        <f>SUMIF('Rig 201'!$B:$B,Lists!$A$10,'Rig 201'!$H:$H)</f>
        <v>0</v>
      </c>
      <c r="BE15" s="34">
        <f>SUMIF('Rig 201'!$B:$B,Lists!$A$10,'Rig 201'!$I:$I)</f>
        <v>0</v>
      </c>
      <c r="BF15" s="34">
        <f>SUMIF('Rig 201'!$B:$B,Lists!$A$11,'Rig 201'!$C:$C)</f>
        <v>290</v>
      </c>
      <c r="BG15" s="34">
        <f>SUMIF('Rig 201'!$B:$B,Lists!$A$11,'Rig 201'!$E:$E)</f>
        <v>260</v>
      </c>
      <c r="BH15" s="34">
        <f>SUMIF('Rig 201'!$B:$B,Lists!$A$11,'Rig 201'!$F:$F)</f>
        <v>0</v>
      </c>
      <c r="BI15" s="34">
        <f>SUMIF('Rig 201'!$B:$B,Lists!$A$11,'Rig 201'!$G:$G)</f>
        <v>0</v>
      </c>
      <c r="BJ15" s="34">
        <f>SUMIF('Rig 201'!$B:$B,Lists!$A$11,'Rig 201'!$H:$H)</f>
        <v>0</v>
      </c>
      <c r="BK15" s="34">
        <f>SUMIF('Rig 201'!$B:$B,Lists!$A$11,'Rig 201'!$I:$I)</f>
        <v>0</v>
      </c>
      <c r="BL15" s="34">
        <f>SUMIF('Rig 201'!$B:$B,Lists!$A$12,'Rig 201'!$C:$C)</f>
        <v>0</v>
      </c>
      <c r="BM15" s="34">
        <f>SUMIF('Rig 201'!$B:$B,Lists!$A$12,'Rig 201'!$E:$E)</f>
        <v>0</v>
      </c>
      <c r="BN15" s="34">
        <f>SUMIF('Rig 201'!$B:$B,Lists!$A$12,'Rig 201'!$F:$F)</f>
        <v>0</v>
      </c>
      <c r="BO15" s="34">
        <f>SUMIF('Rig 201'!$B:$B,Lists!$A$12,'Rig 201'!$G:$G)</f>
        <v>0</v>
      </c>
      <c r="BP15" s="34">
        <f>SUMIF('Rig 201'!$B:$B,Lists!$A$12,'Rig 201'!$H:$H)</f>
        <v>0</v>
      </c>
      <c r="BQ15" s="34">
        <f>SUMIF('Rig 201'!$B:$B,Lists!$A$12,'Rig 201'!$I:$I)</f>
        <v>0</v>
      </c>
      <c r="BR15" s="34">
        <f>SUMIF('Rig 201'!$B:$B,Lists!$A$13,'Rig 201'!$C:$C)</f>
        <v>0</v>
      </c>
      <c r="BS15" s="34">
        <f>SUMIF('Rig 201'!$B:$B,Lists!$A$13,'Rig 201'!$E:$E)</f>
        <v>0</v>
      </c>
      <c r="BT15" s="34">
        <f>SUMIF('Rig 201'!$B:$B,Lists!$A$13,'Rig 201'!$F:$F)</f>
        <v>0</v>
      </c>
      <c r="BU15" s="34">
        <f>SUMIF('Rig 201'!$B:$B,Lists!$A$13,'Rig 201'!$G:$G)</f>
        <v>0</v>
      </c>
      <c r="BV15" s="34">
        <f>SUMIF('Rig 201'!$B:$B,Lists!$A$13,'Rig 201'!$H:$H)</f>
        <v>0</v>
      </c>
      <c r="BW15" s="34">
        <f>SUMIF('Rig 201'!$B:$B,Lists!$A$13,'Rig 201'!$I:$I)</f>
        <v>0</v>
      </c>
      <c r="BX15" s="34">
        <f>SUMIF('Rig 201'!$B:$B,Lists!$A$14,'Rig 201'!$C:$C)</f>
        <v>0</v>
      </c>
      <c r="BY15" s="34">
        <f>SUMIF('Rig 201'!$B:$B,Lists!$A$14,'Rig 201'!$E:$E)</f>
        <v>0</v>
      </c>
      <c r="BZ15" s="34">
        <f>SUMIF('Rig 201'!$B:$B,Lists!$A$14,'Rig 201'!$F:$F)</f>
        <v>0</v>
      </c>
      <c r="CA15" s="34">
        <f>SUMIF('Rig 201'!$B:$B,Lists!$A$14,'Rig 201'!$G:$G)</f>
        <v>0</v>
      </c>
      <c r="CB15" s="34">
        <f>SUMIF('Rig 201'!$B:$B,Lists!$A$14,'Rig 201'!$H:$H)</f>
        <v>0</v>
      </c>
      <c r="CC15" s="34">
        <f>SUMIF('Rig 201'!$B:$B,Lists!$A$14,'Rig 201'!$I:$I)</f>
        <v>0</v>
      </c>
      <c r="CD15" s="34">
        <f>SUMIF('Rig 201'!$B:$B,Lists!$A$15,'Rig 201'!$C:$C)</f>
        <v>0</v>
      </c>
      <c r="CE15" s="34">
        <f>SUMIF('Rig 201'!$B:$B,Lists!$A$15,'Rig 201'!$E:$E)</f>
        <v>0</v>
      </c>
      <c r="CF15" s="34">
        <f>SUMIF('Rig 201'!$B:$B,Lists!$A$15,'Rig 201'!$F:$F)</f>
        <v>0</v>
      </c>
      <c r="CG15" s="34">
        <f>SUMIF('Rig 201'!$B:$B,Lists!$A$15,'Rig 201'!$G:$G)</f>
        <v>0</v>
      </c>
      <c r="CH15" s="34">
        <f>SUMIF('Rig 201'!$B:$B,Lists!$A$15,'Rig 201'!$H:$H)</f>
        <v>0</v>
      </c>
      <c r="CI15" s="34">
        <f>SUMIF('Rig 201'!$B:$B,Lists!$A$15,'Rig 201'!$I:$I)</f>
        <v>0</v>
      </c>
      <c r="CJ15" s="34">
        <f>SUMIF('Rig 201'!$B:$B,Lists!$A$16,'Rig 201'!$C:$C)</f>
        <v>0</v>
      </c>
      <c r="CK15" s="34">
        <f>SUMIF('Rig 201'!$B:$B,Lists!$A$16,'Rig 201'!$E:$E)</f>
        <v>0</v>
      </c>
      <c r="CL15" s="34">
        <f>SUMIF('Rig 201'!$B:$B,Lists!$A$16,'Rig 201'!$F:$F)</f>
        <v>0</v>
      </c>
      <c r="CM15" s="34">
        <f>SUMIF('Rig 201'!$B:$B,Lists!$A$16,'Rig 201'!$G:$G)</f>
        <v>0</v>
      </c>
      <c r="CN15" s="34">
        <f>SUMIF('Rig 201'!$B:$B,Lists!$A$16,'Rig 201'!$H:$H)</f>
        <v>0</v>
      </c>
      <c r="CO15" s="34">
        <f>SUMIF('Rig 201'!$B:$B,Lists!$A$16,'Rig 201'!$I:$I)</f>
        <v>0</v>
      </c>
      <c r="CP15" s="34">
        <f>SUMIF('Rig 201'!$B:$B,Lists!$A$17,'Rig 201'!$C:$C)</f>
        <v>0</v>
      </c>
      <c r="CQ15" s="34">
        <f>SUMIF('Rig 201'!$B:$B,Lists!$A$17,'Rig 201'!$E:$E)</f>
        <v>0</v>
      </c>
      <c r="CR15" s="34">
        <f>SUMIF('Rig 201'!$B:$B,Lists!$A$17,'Rig 201'!$F:$F)</f>
        <v>0</v>
      </c>
      <c r="CS15" s="34">
        <f>SUMIF('Rig 201'!$B:$B,Lists!$A$17,'Rig 201'!$G:$G)</f>
        <v>0</v>
      </c>
      <c r="CT15" s="34">
        <f>SUMIF('Rig 201'!$B:$B,Lists!$A$17,'Rig 201'!$H:$H)</f>
        <v>0</v>
      </c>
      <c r="CU15" s="34">
        <f>SUMIF('Rig 201'!$B:$B,Lists!$A$17,'Rig 201'!$I:$I)</f>
        <v>0</v>
      </c>
      <c r="CV15" s="34">
        <f>SUMIF('Rig 201'!$B:$B,Lists!$A$18,'Rig 201'!$C:$C)</f>
        <v>0</v>
      </c>
      <c r="CW15" s="34">
        <f>SUMIF('Rig 201'!$B:$B,Lists!$A$18,'Rig 201'!$E:$E)</f>
        <v>0</v>
      </c>
      <c r="CX15" s="34">
        <f>SUMIF('Rig 201'!$B:$B,Lists!$A$18,'Rig 201'!$F:$F)</f>
        <v>0</v>
      </c>
      <c r="CY15" s="34">
        <f>SUMIF('Rig 201'!$B:$B,Lists!$A$18,'Rig 201'!$G:$G)</f>
        <v>0</v>
      </c>
      <c r="CZ15" s="34">
        <f>SUMIF('Rig 201'!$B:$B,Lists!$A$18,'Rig 201'!$H:$H)</f>
        <v>0</v>
      </c>
      <c r="DA15" s="34">
        <f>SUMIF('Rig 201'!$B:$B,Lists!$A$18,'Rig 201'!$I:$I)</f>
        <v>0</v>
      </c>
      <c r="DB15" s="34">
        <f>SUMIF('Rig 201'!$B:$B,Lists!$A$19,'Rig 201'!$C:$C)</f>
        <v>40</v>
      </c>
      <c r="DC15" s="34">
        <f>SUMIF('Rig 201'!$B:$B,Lists!$A$19,'Rig 201'!$E:$E)</f>
        <v>31</v>
      </c>
      <c r="DD15" s="34">
        <f>SUMIF('Rig 201'!$B:$B,Lists!$A$19,'Rig 201'!$F:$F)</f>
        <v>0</v>
      </c>
      <c r="DE15" s="34">
        <f>SUMIF('Rig 201'!$B:$B,Lists!$A$19,'Rig 201'!$G:$G)</f>
        <v>0</v>
      </c>
      <c r="DF15" s="34">
        <f>SUMIF('Rig 201'!$B:$B,Lists!$A$19,'Rig 201'!$H:$H)</f>
        <v>0</v>
      </c>
      <c r="DG15" s="34">
        <f>SUMIF('Rig 201'!$B:$B,Lists!$A$19,'Rig 201'!$I:$I)</f>
        <v>0</v>
      </c>
      <c r="DH15" s="34">
        <f>SUMIF('Rig 201'!$B:$B,Lists!$A$20,'Rig 201'!$C:$C)</f>
        <v>0</v>
      </c>
      <c r="DI15" s="34">
        <f>SUMIF('Rig 201'!$B:$B,Lists!$A$20,'Rig 201'!$E:$E)</f>
        <v>0</v>
      </c>
      <c r="DJ15" s="34">
        <f>SUMIF('Rig 201'!$B:$B,Lists!$A$20,'Rig 201'!$F:$F)</f>
        <v>0</v>
      </c>
      <c r="DK15" s="34">
        <f>SUMIF('Rig 201'!$B:$B,Lists!$A$20,'Rig 201'!$G:$G)</f>
        <v>0</v>
      </c>
      <c r="DL15" s="34">
        <f>SUMIF('Rig 201'!$B:$B,Lists!$A$20,'Rig 201'!$H:$H)</f>
        <v>0</v>
      </c>
      <c r="DM15" s="34">
        <f>SUMIF('Rig 201'!$B:$B,Lists!$A$20,'Rig 201'!$I:$I)</f>
        <v>0</v>
      </c>
      <c r="DN15" s="34">
        <f>SUMIF('Rig 201'!$B:$B,Lists!$A$21,'Rig 201'!$C:$C)</f>
        <v>0</v>
      </c>
      <c r="DO15" s="34">
        <f>SUMIF('Rig 201'!$B:$B,Lists!$A$21,'Rig 201'!$E:$E)</f>
        <v>0</v>
      </c>
      <c r="DP15" s="34">
        <f>SUMIF('Rig 201'!$B:$B,Lists!$A$21,'Rig 201'!$F:$F)</f>
        <v>0</v>
      </c>
      <c r="DQ15" s="34">
        <f>SUMIF('Rig 201'!$B:$B,Lists!$A$21,'Rig 201'!$G:$G)</f>
        <v>0</v>
      </c>
      <c r="DR15" s="34">
        <f>SUMIF('Rig 201'!$B:$B,Lists!$A$21,'Rig 201'!$H:$H)</f>
        <v>0</v>
      </c>
      <c r="DS15" s="34">
        <f>SUMIF('Rig 201'!$B:$B,Lists!$A$21,'Rig 201'!$I:$I)</f>
        <v>0</v>
      </c>
      <c r="DT15" s="34">
        <f>SUMIF('Rig 201'!$B:$B,Lists!$A$22,'Rig 201'!$C:$C)</f>
        <v>3</v>
      </c>
      <c r="DU15" s="34">
        <f>SUMIF('Rig 201'!$B:$B,Lists!$A$22,'Rig 201'!$E:$E)</f>
        <v>2</v>
      </c>
      <c r="DV15" s="34">
        <f>SUMIF('Rig 201'!$B:$B,Lists!$A$22,'Rig 201'!$F:$F)</f>
        <v>0</v>
      </c>
      <c r="DW15" s="34">
        <f>SUMIF('Rig 201'!$B:$B,Lists!$A$22,'Rig 201'!$G:$G)</f>
        <v>0</v>
      </c>
      <c r="DX15" s="34">
        <f>SUMIF('Rig 201'!$B:$B,Lists!$A$22,'Rig 201'!$H:$H)</f>
        <v>0</v>
      </c>
      <c r="DY15" s="34">
        <f>SUMIF('Rig 201'!$B:$B,Lists!$A$22,'Rig 201'!$I:$I)</f>
        <v>0</v>
      </c>
      <c r="DZ15" s="34">
        <f>SUMIF('Rig 201'!$B:$B,Lists!$A$23,'Rig 201'!$C:$C)</f>
        <v>0</v>
      </c>
      <c r="EA15" s="34">
        <f>SUMIF('Rig 201'!$B:$B,Lists!$A$23,'Rig 201'!$E:$E)</f>
        <v>0</v>
      </c>
      <c r="EB15" s="34">
        <f>SUMIF('Rig 201'!$B:$B,Lists!$A$23,'Rig 201'!$F:$F)</f>
        <v>0</v>
      </c>
      <c r="EC15" s="34">
        <f>SUMIF('Rig 201'!$B:$B,Lists!$A$23,'Rig 201'!$G:$G)</f>
        <v>0</v>
      </c>
      <c r="ED15" s="34">
        <f>SUMIF('Rig 201'!$B:$B,Lists!$A$23,'Rig 201'!$H:$H)</f>
        <v>0</v>
      </c>
      <c r="EE15" s="34">
        <f>SUMIF('Rig 201'!$B:$B,Lists!$A$23,'Rig 201'!$I:$I)</f>
        <v>0</v>
      </c>
      <c r="EF15" s="34">
        <f>SUMIF('Rig 201'!$B:$B,Lists!$A$24,'Rig 201'!$C:$C)</f>
        <v>18</v>
      </c>
      <c r="EG15" s="34">
        <f>SUMIF('Rig 201'!$B:$B,Lists!$A$24,'Rig 201'!$E:$E)</f>
        <v>16</v>
      </c>
      <c r="EH15" s="34">
        <f>SUMIF('Rig 201'!$B:$B,Lists!$A$24,'Rig 201'!$F:$F)</f>
        <v>0</v>
      </c>
      <c r="EI15" s="34">
        <f>SUMIF('Rig 201'!$B:$B,Lists!$A$24,'Rig 201'!$G:$G)</f>
        <v>0</v>
      </c>
      <c r="EJ15" s="34">
        <f>SUMIF('Rig 201'!$B:$B,Lists!$A$24,'Rig 201'!$H:$H)</f>
        <v>0</v>
      </c>
      <c r="EK15" s="34">
        <f>SUMIF('Rig 201'!$B:$B,Lists!$A$24,'Rig 201'!$I:$I)</f>
        <v>2</v>
      </c>
      <c r="EL15" s="34">
        <f>SUMIF('Rig 201'!$B:$B,Lists!$A$25,'Rig 201'!$C:$C)</f>
        <v>0</v>
      </c>
      <c r="EM15" s="34">
        <f>SUMIF('Rig 201'!$B:$B,Lists!$A$25,'Rig 201'!$E:$E)</f>
        <v>0</v>
      </c>
      <c r="EN15" s="34">
        <f>SUMIF('Rig 201'!$B:$B,Lists!$A$25,'Rig 201'!$F:$F)</f>
        <v>0</v>
      </c>
      <c r="EO15" s="34">
        <f>SUMIF('Rig 201'!$B:$B,Lists!$A$25,'Rig 201'!$G:$G)</f>
        <v>0</v>
      </c>
      <c r="EP15" s="34">
        <f>SUMIF('Rig 201'!$B:$B,Lists!$A$25,'Rig 201'!$H:$H)</f>
        <v>0</v>
      </c>
      <c r="EQ15" s="34">
        <f>SUMIF('Rig 201'!$B:$B,Lists!$A$25,'Rig 201'!$I:$I)</f>
        <v>0</v>
      </c>
      <c r="ER15" s="34">
        <f>SUMIF('Rig 201'!$B:$B,Lists!$A$26,'Rig 201'!$C:$C)</f>
        <v>0</v>
      </c>
      <c r="ES15" s="34">
        <f>SUMIF('Rig 201'!$B:$B,Lists!$A$26,'Rig 201'!$E:$E)</f>
        <v>0</v>
      </c>
      <c r="ET15" s="34">
        <f>SUMIF('Rig 201'!$B:$B,Lists!$A$26,'Rig 201'!$F:$F)</f>
        <v>0</v>
      </c>
      <c r="EU15" s="34">
        <f>SUMIF('Rig 201'!$B:$B,Lists!$A$26,'Rig 201'!$G:$G)</f>
        <v>0</v>
      </c>
      <c r="EV15" s="34">
        <f>SUMIF('Rig 201'!$B:$B,Lists!$A$26,'Rig 201'!$H:$H)</f>
        <v>0</v>
      </c>
      <c r="EW15" s="34">
        <f>SUMIF('Rig 201'!$B:$B,Lists!$A$26,'Rig 201'!$I:$I)</f>
        <v>0</v>
      </c>
      <c r="EX15" s="34">
        <f>SUMIF('Rig 201'!$B:$B,Lists!$A$27,'Rig 201'!$C:$C)</f>
        <v>20</v>
      </c>
      <c r="EY15" s="34">
        <f>SUMIF('Rig 201'!$B:$B,Lists!$A$27,'Rig 201'!$E:$E)</f>
        <v>24</v>
      </c>
      <c r="EZ15" s="34">
        <f>SUMIF('Rig 201'!$B:$B,Lists!$A$27,'Rig 201'!$F:$F)</f>
        <v>0</v>
      </c>
      <c r="FA15" s="34">
        <f>SUMIF('Rig 201'!$B:$B,Lists!$A$27,'Rig 201'!$G:$G)</f>
        <v>0</v>
      </c>
      <c r="FB15" s="34">
        <f>SUMIF('Rig 201'!$B:$B,Lists!$A$27,'Rig 201'!$H:$H)</f>
        <v>0</v>
      </c>
      <c r="FC15" s="34">
        <f>SUMIF('Rig 201'!$B:$B,Lists!$A$27,'Rig 201'!$I:$I)</f>
        <v>0</v>
      </c>
      <c r="FD15" s="34">
        <f>SUMIF('Rig 201'!$B:$B,Lists!$A$28,'Rig 201'!$C:$C)</f>
        <v>0</v>
      </c>
      <c r="FE15" s="34">
        <f>SUMIF('Rig 201'!$B:$B,Lists!$A$28,'Rig 201'!$E:$E)</f>
        <v>0</v>
      </c>
      <c r="FF15" s="34">
        <f>SUMIF('Rig 201'!$B:$B,Lists!$A$28,'Rig 201'!$F:$F)</f>
        <v>0</v>
      </c>
      <c r="FG15" s="34">
        <f>SUMIF('Rig 201'!$B:$B,Lists!$A$28,'Rig 201'!$G:$G)</f>
        <v>0</v>
      </c>
      <c r="FH15" s="34">
        <f>SUMIF('Rig 201'!$B:$B,Lists!$A$28,'Rig 201'!$H:$H)</f>
        <v>0</v>
      </c>
      <c r="FI15" s="34">
        <f>SUMIF('Rig 201'!$B:$B,Lists!$A$28,'Rig 201'!$I:$I)</f>
        <v>0</v>
      </c>
      <c r="FJ15" s="34">
        <f>SUMIF('Rig 201'!$B:$B,Lists!$A$29,'Rig 201'!$C:$C)</f>
        <v>20</v>
      </c>
      <c r="FK15" s="34">
        <f>SUMIF('Rig 201'!$B:$B,Lists!$A$29,'Rig 201'!$E:$E)</f>
        <v>0</v>
      </c>
      <c r="FL15" s="34">
        <f>SUMIF('Rig 201'!$B:$B,Lists!$A$29,'Rig 201'!$F:$F)</f>
        <v>0</v>
      </c>
      <c r="FM15" s="34">
        <f>SUMIF('Rig 201'!$B:$B,Lists!$A$29,'Rig 201'!$G:$G)</f>
        <v>0</v>
      </c>
      <c r="FN15" s="34">
        <f>SUMIF('Rig 201'!$B:$B,Lists!$A$29,'Rig 201'!$H:$H)</f>
        <v>0</v>
      </c>
      <c r="FO15" s="34">
        <f>SUMIF('Rig 201'!$B:$B,Lists!$A$29,'Rig 201'!$I:$I)</f>
        <v>0</v>
      </c>
      <c r="FP15" s="34">
        <f>SUMIF('Rig 201'!$B:$B,Lists!$A$30,'Rig 201'!$C:$C)</f>
        <v>0</v>
      </c>
      <c r="FQ15" s="34">
        <f>SUMIF('Rig 201'!$B:$B,Lists!$A$30,'Rig 201'!$E:$E)</f>
        <v>0</v>
      </c>
      <c r="FR15" s="34">
        <f>SUMIF('Rig 201'!$B:$B,Lists!$A$30,'Rig 201'!$F:$F)</f>
        <v>0</v>
      </c>
      <c r="FS15" s="34">
        <f>SUMIF('Rig 201'!$B:$B,Lists!$A$30,'Rig 201'!$G:$G)</f>
        <v>0</v>
      </c>
      <c r="FT15" s="34">
        <f>SUMIF('Rig 201'!$B:$B,Lists!$A$30,'Rig 201'!$H:$H)</f>
        <v>0</v>
      </c>
      <c r="FU15" s="34">
        <f>SUMIF('Rig 201'!$B:$B,Lists!$A$30,'Rig 201'!$I:$I)</f>
        <v>0</v>
      </c>
      <c r="FV15" s="34">
        <f>SUMIF('Rig 201'!$B:$B,Lists!$A$31,'Rig 201'!$C:$C)</f>
        <v>0</v>
      </c>
      <c r="FW15" s="34">
        <f>SUMIF('Rig 201'!$B:$B,Lists!$A$31,'Rig 201'!$E:$E)</f>
        <v>0</v>
      </c>
      <c r="FX15" s="34">
        <f>SUMIF('Rig 201'!$B:$B,Lists!$A$31,'Rig 201'!$F:$F)</f>
        <v>0</v>
      </c>
      <c r="FY15" s="34">
        <f>SUMIF('Rig 201'!$B:$B,Lists!$A$31,'Rig 201'!$G:$G)</f>
        <v>0</v>
      </c>
      <c r="FZ15" s="34">
        <f>SUMIF('Rig 201'!$B:$B,Lists!$A$31,'Rig 201'!$H:$H)</f>
        <v>0</v>
      </c>
      <c r="GA15" s="34">
        <f>SUMIF('Rig 201'!$B:$B,Lists!$A$31,'Rig 201'!$I:$I)</f>
        <v>0</v>
      </c>
      <c r="GB15" s="34">
        <f>SUMIF('Rig 201'!$B:$B,Lists!$A$32,'Rig 201'!$C:$C)</f>
        <v>0</v>
      </c>
      <c r="GC15" s="34">
        <f>SUMIF('Rig 201'!$B:$B,Lists!$A$32,'Rig 201'!$E:$E)</f>
        <v>0</v>
      </c>
      <c r="GD15" s="34">
        <f>SUMIF('Rig 201'!$B:$B,Lists!$A$32,'Rig 201'!$F:$F)</f>
        <v>0</v>
      </c>
      <c r="GE15" s="34">
        <f>SUMIF('Rig 201'!$B:$B,Lists!$A$32,'Rig 201'!$G:$G)</f>
        <v>0</v>
      </c>
      <c r="GF15" s="34">
        <f>SUMIF('Rig 201'!$B:$B,Lists!$A$32,'Rig 201'!$H:$H)</f>
        <v>0</v>
      </c>
      <c r="GG15" s="34">
        <f>SUMIF('Rig 201'!$B:$B,Lists!$A$32,'Rig 201'!$I:$I)</f>
        <v>0</v>
      </c>
      <c r="GH15" s="34">
        <f>SUMIF('Rig 201'!$B:$B,Lists!$A$33,'Rig 201'!$C:$C)</f>
        <v>0</v>
      </c>
      <c r="GI15" s="34">
        <f>SUMIF('Rig 201'!$B:$B,Lists!$A$33,'Rig 201'!$E:$E)</f>
        <v>0</v>
      </c>
      <c r="GJ15" s="34">
        <f>SUMIF('Rig 201'!$B:$B,Lists!$A$33,'Rig 201'!$F:$F)</f>
        <v>0</v>
      </c>
      <c r="GK15" s="34">
        <f>SUMIF('Rig 201'!$B:$B,Lists!$A$33,'Rig 201'!$G:$G)</f>
        <v>0</v>
      </c>
      <c r="GL15" s="34">
        <f>SUMIF('Rig 201'!$B:$B,Lists!$A$33,'Rig 201'!$H:$H)</f>
        <v>0</v>
      </c>
      <c r="GM15" s="34">
        <f>SUMIF('Rig 201'!$B:$B,Lists!$A$33,'Rig 201'!$I:$I)</f>
        <v>0</v>
      </c>
      <c r="GN15" s="34">
        <f>SUMIF('Rig 201'!$B:$B,Lists!$A$34,'Rig 201'!$C:$C)</f>
        <v>0</v>
      </c>
      <c r="GO15" s="34">
        <f>SUMIF('Rig 201'!$B:$B,Lists!$A$34,'Rig 201'!$E:$E)</f>
        <v>0</v>
      </c>
      <c r="GP15" s="34">
        <f>SUMIF('Rig 201'!$B:$B,Lists!$A$34,'Rig 201'!$F:$F)</f>
        <v>0</v>
      </c>
      <c r="GQ15" s="34">
        <f>SUMIF('Rig 201'!$B:$B,Lists!$A$34,'Rig 201'!$G:$G)</f>
        <v>0</v>
      </c>
      <c r="GR15" s="34">
        <f>SUMIF('Rig 201'!$B:$B,Lists!$A$34,'Rig 201'!$H:$H)</f>
        <v>0</v>
      </c>
      <c r="GS15" s="34">
        <f>SUMIF('Rig 201'!$B:$B,Lists!$A$34,'Rig 201'!$I:$I)</f>
        <v>0</v>
      </c>
      <c r="GT15" s="34">
        <f>SUMIF('Rig 201'!$B:$B,Lists!$A$35,'Rig 201'!$C:$C)</f>
        <v>0</v>
      </c>
      <c r="GU15" s="34">
        <f>SUMIF('Rig 201'!$B:$B,Lists!$A$35,'Rig 201'!$E:$E)</f>
        <v>0</v>
      </c>
      <c r="GV15" s="34">
        <f>SUMIF('Rig 201'!$B:$B,Lists!$A$35,'Rig 201'!$F:$F)</f>
        <v>0</v>
      </c>
      <c r="GW15" s="34">
        <f>SUMIF('Rig 201'!$B:$B,Lists!$A$35,'Rig 201'!$G:$G)</f>
        <v>0</v>
      </c>
      <c r="GX15" s="34">
        <f>SUMIF('Rig 201'!$B:$B,Lists!$A$35,'Rig 201'!$H:$H)</f>
        <v>0</v>
      </c>
      <c r="GY15" s="34">
        <f>SUMIF('Rig 201'!$B:$B,Lists!$A$35,'Rig 201'!$I:$I)</f>
        <v>0</v>
      </c>
      <c r="GZ15" s="34">
        <f>SUMIF('Rig 201'!$B:$B,Lists!$A$36,'Rig 201'!$C:$C)</f>
        <v>0</v>
      </c>
      <c r="HA15" s="34">
        <f>SUMIF('Rig 201'!$B:$B,Lists!$A$36,'Rig 201'!$E:$E)</f>
        <v>0</v>
      </c>
      <c r="HB15" s="34">
        <f>SUMIF('Rig 201'!$B:$B,Lists!$A$36,'Rig 201'!$F:$F)</f>
        <v>0</v>
      </c>
      <c r="HC15" s="34">
        <f>SUMIF('Rig 201'!$B:$B,Lists!$A$36,'Rig 201'!$G:$G)</f>
        <v>0</v>
      </c>
      <c r="HD15" s="34">
        <f>SUMIF('Rig 201'!$B:$B,Lists!$A$36,'Rig 201'!$H:$H)</f>
        <v>0</v>
      </c>
      <c r="HE15" s="34">
        <f>SUMIF('Rig 201'!$B:$B,Lists!$A$36,'Rig 201'!$I:$I)</f>
        <v>0</v>
      </c>
      <c r="HF15" s="34">
        <f>SUMIF('Rig 201'!$B:$B,Lists!$A$37,'Rig 201'!$C:$C)</f>
        <v>0</v>
      </c>
      <c r="HG15" s="34">
        <f>SUMIF('Rig 201'!$B:$B,Lists!$A$37,'Rig 201'!$E:$E)</f>
        <v>0</v>
      </c>
      <c r="HH15" s="34">
        <f>SUMIF('Rig 201'!$B:$B,Lists!$A$37,'Rig 201'!$F:$F)</f>
        <v>0</v>
      </c>
      <c r="HI15" s="34">
        <f>SUMIF('Rig 201'!$B:$B,Lists!$A$37,'Rig 201'!$G:$G)</f>
        <v>0</v>
      </c>
      <c r="HJ15" s="34">
        <f>SUMIF('Rig 201'!$B:$B,Lists!$A$37,'Rig 201'!$H:$H)</f>
        <v>0</v>
      </c>
      <c r="HK15" s="34">
        <f>SUMIF('Rig 201'!$B:$B,Lists!$A$37,'Rig 201'!$I:$I)</f>
        <v>0</v>
      </c>
      <c r="HL15" s="34">
        <f>SUMIF('Rig 201'!$B:$B,Lists!$A$38,'Rig 201'!$C:$C)</f>
        <v>0</v>
      </c>
      <c r="HM15" s="34">
        <f>SUMIF('Rig 201'!$B:$B,Lists!$A$38,'Rig 201'!$E:$E)</f>
        <v>0</v>
      </c>
      <c r="HN15" s="34">
        <f>SUMIF('Rig 201'!$B:$B,Lists!$A$38,'Rig 201'!$F:$F)</f>
        <v>0</v>
      </c>
      <c r="HO15" s="34">
        <f>SUMIF('Rig 201'!$B:$B,Lists!$A$38,'Rig 201'!$G:$G)</f>
        <v>0</v>
      </c>
      <c r="HP15" s="34">
        <f>SUMIF('Rig 201'!$B:$B,Lists!$A$38,'Rig 201'!$H:$H)</f>
        <v>0</v>
      </c>
      <c r="HQ15" s="34">
        <f>SUMIF('Rig 201'!$B:$B,Lists!$A$38,'Rig 201'!$I:$I)</f>
        <v>0</v>
      </c>
      <c r="HR15" s="34">
        <f>SUMIF('Rig 201'!$B:$B,Lists!$A$39,'Rig 201'!$C:$C)</f>
        <v>0</v>
      </c>
      <c r="HS15" s="34">
        <f>SUMIF('Rig 201'!$B:$B,Lists!$A$39,'Rig 201'!$E:$E)</f>
        <v>4</v>
      </c>
      <c r="HT15" s="34">
        <f>SUMIF('Rig 201'!$B:$B,Lists!$A$39,'Rig 201'!$F:$F)</f>
        <v>0</v>
      </c>
      <c r="HU15" s="34">
        <f>SUMIF('Rig 201'!$B:$B,Lists!$A$39,'Rig 201'!$G:$G)</f>
        <v>0</v>
      </c>
      <c r="HV15" s="34">
        <f>SUMIF('Rig 201'!$B:$B,Lists!$A$39,'Rig 201'!$H:$H)</f>
        <v>0</v>
      </c>
      <c r="HW15" s="34">
        <f>SUMIF('Rig 201'!$B:$B,Lists!$A$39,'Rig 201'!$I:$I)</f>
        <v>0</v>
      </c>
      <c r="HX15" s="34">
        <f>SUMIF('Rig 201'!$B:$B,Lists!$A$40,'Rig 201'!$C:$C)</f>
        <v>0</v>
      </c>
      <c r="HY15" s="34">
        <f>SUMIF('Rig 201'!$B:$B,Lists!$A$40,'Rig 201'!$E:$E)</f>
        <v>0</v>
      </c>
      <c r="HZ15" s="34">
        <f>SUMIF('Rig 201'!$B:$B,Lists!$A$40,'Rig 201'!$F:$F)</f>
        <v>0</v>
      </c>
      <c r="IA15" s="34">
        <f>SUMIF('Rig 201'!$B:$B,Lists!$A$40,'Rig 201'!$G:$G)</f>
        <v>0</v>
      </c>
      <c r="IB15" s="34">
        <f>SUMIF('Rig 201'!$B:$B,Lists!$A$40,'Rig 201'!$H:$H)</f>
        <v>0</v>
      </c>
      <c r="IC15" s="34">
        <f>SUMIF('Rig 201'!$B:$B,Lists!$A$40,'Rig 201'!$I:$I)</f>
        <v>0</v>
      </c>
      <c r="ID15" s="34">
        <f>SUMIF('Rig 201'!$B:$B,Lists!$A$41,'Rig 201'!$C:$C)</f>
        <v>0</v>
      </c>
      <c r="IE15" s="34">
        <f>SUMIF('Rig 201'!$B:$B,Lists!$A$41,'Rig 201'!$E:$E)</f>
        <v>0</v>
      </c>
      <c r="IF15" s="34">
        <f>SUMIF('Rig 201'!$B:$B,Lists!$A$41,'Rig 201'!$F:$F)</f>
        <v>0</v>
      </c>
      <c r="IG15" s="34">
        <f>SUMIF('Rig 201'!$B:$B,Lists!$A$41,'Rig 201'!$G:$G)</f>
        <v>0</v>
      </c>
      <c r="IH15" s="34">
        <f>SUMIF('Rig 201'!$B:$B,Lists!$A$41,'Rig 201'!$H:$H)</f>
        <v>0</v>
      </c>
      <c r="II15" s="34">
        <f>SUMIF('Rig 201'!$B:$B,Lists!$A$41,'Rig 201'!$I:$I)</f>
        <v>0</v>
      </c>
    </row>
    <row r="16" spans="1:243" ht="19.5" customHeight="1" x14ac:dyDescent="0.3">
      <c r="A16" s="35" t="s">
        <v>87</v>
      </c>
      <c r="B16" s="36">
        <f>'Rig 202'!D2</f>
        <v>46173</v>
      </c>
      <c r="C16" s="37" t="s">
        <v>77</v>
      </c>
      <c r="D16" s="38">
        <f>SUMIF('Rig 202'!$B:$B,Lists!$A$2,'Rig 202'!$C:$C)</f>
        <v>0</v>
      </c>
      <c r="E16" s="38">
        <f>SUMIF('Rig 202'!$B:$B,Lists!$A$2,'Rig 202'!$E:$E)</f>
        <v>0</v>
      </c>
      <c r="F16" s="38">
        <f>SUMIF('Rig 202'!$B:$B,Lists!$A$2,'Rig 202'!$F:$F)</f>
        <v>0</v>
      </c>
      <c r="G16" s="38">
        <f>SUMIF('Rig 202'!$B:$B,Lists!$A$2,'Rig 202'!$G:$G)</f>
        <v>0</v>
      </c>
      <c r="H16" s="38">
        <f>SUMIF('Rig 202'!$B:$B,Lists!$A$2,'Rig 202'!$H:$H)</f>
        <v>0</v>
      </c>
      <c r="I16" s="38">
        <f>SUMIF('Rig 202'!$B:$B,Lists!$A$2,'Rig 202'!$I:$I)</f>
        <v>0</v>
      </c>
      <c r="J16" s="38">
        <f>SUMIF('Rig 202'!$B:$B,Lists!$A$3,'Rig 202'!$C:$C)</f>
        <v>0</v>
      </c>
      <c r="K16" s="38">
        <f>SUMIF('Rig 202'!$B:$B,Lists!$A$3,'Rig 202'!$E:$E)</f>
        <v>0</v>
      </c>
      <c r="L16" s="38">
        <f>SUMIF('Rig 202'!$B:$B,Lists!$A$3,'Rig 202'!$F:$F)</f>
        <v>0</v>
      </c>
      <c r="M16" s="38">
        <f>SUMIF('Rig 202'!$B:$B,Lists!$A$3,'Rig 202'!$G:$G)</f>
        <v>0</v>
      </c>
      <c r="N16" s="38">
        <f>SUMIF('Rig 202'!$B:$B,Lists!$A$3,'Rig 202'!$H:$H)</f>
        <v>0</v>
      </c>
      <c r="O16" s="38">
        <f>SUMIF('Rig 202'!$B:$B,Lists!$A$3,'Rig 202'!$I:$I)</f>
        <v>1</v>
      </c>
      <c r="P16" s="38">
        <f>SUMIF('Rig 202'!$B:$B,Lists!$A$4,'Rig 202'!$C:$C)</f>
        <v>0</v>
      </c>
      <c r="Q16" s="38">
        <f>SUMIF('Rig 202'!$B:$B,Lists!$A$4,'Rig 202'!$E:$E)</f>
        <v>0</v>
      </c>
      <c r="R16" s="38">
        <f>SUMIF('Rig 202'!$B:$B,Lists!$A$4,'Rig 202'!$F:$F)</f>
        <v>0</v>
      </c>
      <c r="S16" s="38">
        <f>SUMIF('Rig 202'!$B:$B,Lists!$A$4,'Rig 202'!$G:$G)</f>
        <v>0</v>
      </c>
      <c r="T16" s="38">
        <f>SUMIF('Rig 202'!$B:$B,Lists!$A$4,'Rig 202'!$H:$H)</f>
        <v>0</v>
      </c>
      <c r="U16" s="38">
        <f>SUMIF('Rig 202'!$B:$B,Lists!$A$4,'Rig 202'!$I:$I)</f>
        <v>0</v>
      </c>
      <c r="V16" s="38">
        <f>SUMIF('Rig 202'!$B:$B,Lists!$A$5,'Rig 202'!$C:$C)</f>
        <v>0</v>
      </c>
      <c r="W16" s="38">
        <f>SUMIF('Rig 202'!$B:$B,Lists!$A$5,'Rig 202'!$E:$E)</f>
        <v>191</v>
      </c>
      <c r="X16" s="38">
        <f>SUMIF('Rig 202'!$B:$B,Lists!$A$5,'Rig 202'!$F:$F)</f>
        <v>0</v>
      </c>
      <c r="Y16" s="38">
        <f>SUMIF('Rig 202'!$B:$B,Lists!$A$5,'Rig 202'!$G:$G)</f>
        <v>0</v>
      </c>
      <c r="Z16" s="38">
        <f>SUMIF('Rig 202'!$B:$B,Lists!$A$5,'Rig 202'!$H:$H)</f>
        <v>6</v>
      </c>
      <c r="AA16" s="38">
        <f>SUMIF('Rig 202'!$B:$B,Lists!$A$5,'Rig 202'!$I:$I)</f>
        <v>0</v>
      </c>
      <c r="AB16" s="38">
        <f>SUMIF('Rig 202'!$B:$B,Lists!$A$6,'Rig 202'!$C:$C)</f>
        <v>0</v>
      </c>
      <c r="AC16" s="38">
        <f>SUMIF('Rig 202'!$B:$B,Lists!$A$6,'Rig 202'!$E:$E)</f>
        <v>0</v>
      </c>
      <c r="AD16" s="38">
        <f>SUMIF('Rig 202'!$B:$B,Lists!$A$6,'Rig 202'!$F:$F)</f>
        <v>0</v>
      </c>
      <c r="AE16" s="38">
        <f>SUMIF('Rig 202'!$B:$B,Lists!$A$6,'Rig 202'!$G:$G)</f>
        <v>0</v>
      </c>
      <c r="AF16" s="38">
        <f>SUMIF('Rig 202'!$B:$B,Lists!$A$6,'Rig 202'!$H:$H)</f>
        <v>0</v>
      </c>
      <c r="AG16" s="38">
        <f>SUMIF('Rig 202'!$B:$B,Lists!$A$6,'Rig 202'!$I:$I)</f>
        <v>0</v>
      </c>
      <c r="AH16" s="38">
        <f>SUMIF('Rig 202'!$B:$B,Lists!$A$7,'Rig 202'!$C:$C)</f>
        <v>182</v>
      </c>
      <c r="AI16" s="38">
        <f>SUMIF('Rig 202'!$B:$B,Lists!$A$7,'Rig 202'!$E:$E)</f>
        <v>71</v>
      </c>
      <c r="AJ16" s="38">
        <f>SUMIF('Rig 202'!$B:$B,Lists!$A$7,'Rig 202'!$F:$F)</f>
        <v>0</v>
      </c>
      <c r="AK16" s="38">
        <f>SUMIF('Rig 202'!$B:$B,Lists!$A$7,'Rig 202'!$G:$G)</f>
        <v>0</v>
      </c>
      <c r="AL16" s="38">
        <f>SUMIF('Rig 202'!$B:$B,Lists!$A$7,'Rig 202'!$H:$H)</f>
        <v>1</v>
      </c>
      <c r="AM16" s="38">
        <f>SUMIF('Rig 202'!$B:$B,Lists!$A$7,'Rig 202'!$I:$I)</f>
        <v>0</v>
      </c>
      <c r="AN16" s="38">
        <f>SUMIF('Rig 202'!$B:$B,Lists!$A$8,'Rig 202'!$C:$C)</f>
        <v>0</v>
      </c>
      <c r="AO16" s="38">
        <f>SUMIF('Rig 202'!$B:$B,Lists!$A$8,'Rig 202'!$E:$E)</f>
        <v>0</v>
      </c>
      <c r="AP16" s="38">
        <f>SUMIF('Rig 202'!$B:$B,Lists!$A$8,'Rig 202'!$F:$F)</f>
        <v>0</v>
      </c>
      <c r="AQ16" s="38">
        <f>SUMIF('Rig 202'!$B:$B,Lists!$A$8,'Rig 202'!$G:$G)</f>
        <v>0</v>
      </c>
      <c r="AR16" s="38">
        <f>SUMIF('Rig 202'!$B:$B,Lists!$A$8,'Rig 202'!$H:$H)</f>
        <v>0</v>
      </c>
      <c r="AS16" s="38">
        <f>SUMIF('Rig 202'!$B:$B,Lists!$A$8,'Rig 202'!$I:$I)</f>
        <v>0</v>
      </c>
      <c r="AT16" s="38">
        <f>SUMIF('Rig 202'!$B:$B,Lists!$A$9,'Rig 202'!$C:$C)</f>
        <v>0</v>
      </c>
      <c r="AU16" s="38">
        <f>SUMIF('Rig 202'!$B:$B,Lists!$A$9,'Rig 202'!$E:$E)</f>
        <v>0</v>
      </c>
      <c r="AV16" s="38">
        <f>SUMIF('Rig 202'!$B:$B,Lists!$A$9,'Rig 202'!$F:$F)</f>
        <v>0</v>
      </c>
      <c r="AW16" s="38">
        <f>SUMIF('Rig 202'!$B:$B,Lists!$A$9,'Rig 202'!$G:$G)</f>
        <v>0</v>
      </c>
      <c r="AX16" s="38">
        <f>SUMIF('Rig 202'!$B:$B,Lists!$A$9,'Rig 202'!$H:$H)</f>
        <v>0</v>
      </c>
      <c r="AY16" s="38">
        <f>SUMIF('Rig 202'!$B:$B,Lists!$A$9,'Rig 202'!$I:$I)</f>
        <v>0</v>
      </c>
      <c r="AZ16" s="38">
        <f>SUMIF('Rig 202'!$B:$B,Lists!$A$10,'Rig 202'!$C:$C)</f>
        <v>0</v>
      </c>
      <c r="BA16" s="38">
        <f>SUMIF('Rig 202'!$B:$B,Lists!$A$10,'Rig 202'!$E:$E)</f>
        <v>0</v>
      </c>
      <c r="BB16" s="38">
        <f>SUMIF('Rig 202'!$B:$B,Lists!$A$10,'Rig 202'!$F:$F)</f>
        <v>0</v>
      </c>
      <c r="BC16" s="38">
        <f>SUMIF('Rig 202'!$B:$B,Lists!$A$10,'Rig 202'!$G:$G)</f>
        <v>0</v>
      </c>
      <c r="BD16" s="38">
        <f>SUMIF('Rig 202'!$B:$B,Lists!$A$10,'Rig 202'!$H:$H)</f>
        <v>0</v>
      </c>
      <c r="BE16" s="38">
        <f>SUMIF('Rig 202'!$B:$B,Lists!$A$10,'Rig 202'!$I:$I)</f>
        <v>0</v>
      </c>
      <c r="BF16" s="38">
        <f>SUMIF('Rig 202'!$B:$B,Lists!$A$11,'Rig 202'!$C:$C)</f>
        <v>286</v>
      </c>
      <c r="BG16" s="38">
        <f>SUMIF('Rig 202'!$B:$B,Lists!$A$11,'Rig 202'!$E:$E)</f>
        <v>60</v>
      </c>
      <c r="BH16" s="38">
        <f>SUMIF('Rig 202'!$B:$B,Lists!$A$11,'Rig 202'!$F:$F)</f>
        <v>0</v>
      </c>
      <c r="BI16" s="38">
        <f>SUMIF('Rig 202'!$B:$B,Lists!$A$11,'Rig 202'!$G:$G)</f>
        <v>0</v>
      </c>
      <c r="BJ16" s="38">
        <f>SUMIF('Rig 202'!$B:$B,Lists!$A$11,'Rig 202'!$H:$H)</f>
        <v>125</v>
      </c>
      <c r="BK16" s="38">
        <f>SUMIF('Rig 202'!$B:$B,Lists!$A$11,'Rig 202'!$I:$I)</f>
        <v>16</v>
      </c>
      <c r="BL16" s="38">
        <f>SUMIF('Rig 202'!$B:$B,Lists!$A$12,'Rig 202'!$C:$C)</f>
        <v>0</v>
      </c>
      <c r="BM16" s="38">
        <f>SUMIF('Rig 202'!$B:$B,Lists!$A$12,'Rig 202'!$E:$E)</f>
        <v>0</v>
      </c>
      <c r="BN16" s="38">
        <f>SUMIF('Rig 202'!$B:$B,Lists!$A$12,'Rig 202'!$F:$F)</f>
        <v>0</v>
      </c>
      <c r="BO16" s="38">
        <f>SUMIF('Rig 202'!$B:$B,Lists!$A$12,'Rig 202'!$G:$G)</f>
        <v>0</v>
      </c>
      <c r="BP16" s="38">
        <f>SUMIF('Rig 202'!$B:$B,Lists!$A$12,'Rig 202'!$H:$H)</f>
        <v>0</v>
      </c>
      <c r="BQ16" s="38">
        <f>SUMIF('Rig 202'!$B:$B,Lists!$A$12,'Rig 202'!$I:$I)</f>
        <v>0</v>
      </c>
      <c r="BR16" s="38">
        <f>SUMIF('Rig 202'!$B:$B,Lists!$A$13,'Rig 202'!$C:$C)</f>
        <v>0</v>
      </c>
      <c r="BS16" s="38">
        <f>SUMIF('Rig 202'!$B:$B,Lists!$A$13,'Rig 202'!$E:$E)</f>
        <v>0</v>
      </c>
      <c r="BT16" s="38">
        <f>SUMIF('Rig 202'!$B:$B,Lists!$A$13,'Rig 202'!$F:$F)</f>
        <v>0</v>
      </c>
      <c r="BU16" s="38">
        <f>SUMIF('Rig 202'!$B:$B,Lists!$A$13,'Rig 202'!$G:$G)</f>
        <v>0</v>
      </c>
      <c r="BV16" s="38">
        <f>SUMIF('Rig 202'!$B:$B,Lists!$A$13,'Rig 202'!$H:$H)</f>
        <v>0</v>
      </c>
      <c r="BW16" s="38">
        <f>SUMIF('Rig 202'!$B:$B,Lists!$A$13,'Rig 202'!$I:$I)</f>
        <v>0</v>
      </c>
      <c r="BX16" s="38">
        <f>SUMIF('Rig 202'!$B:$B,Lists!$A$14,'Rig 202'!$C:$C)</f>
        <v>0</v>
      </c>
      <c r="BY16" s="38">
        <f>SUMIF('Rig 202'!$B:$B,Lists!$A$14,'Rig 202'!$E:$E)</f>
        <v>0</v>
      </c>
      <c r="BZ16" s="38">
        <f>SUMIF('Rig 202'!$B:$B,Lists!$A$14,'Rig 202'!$F:$F)</f>
        <v>0</v>
      </c>
      <c r="CA16" s="38">
        <f>SUMIF('Rig 202'!$B:$B,Lists!$A$14,'Rig 202'!$G:$G)</f>
        <v>0</v>
      </c>
      <c r="CB16" s="38">
        <f>SUMIF('Rig 202'!$B:$B,Lists!$A$14,'Rig 202'!$H:$H)</f>
        <v>0</v>
      </c>
      <c r="CC16" s="38">
        <f>SUMIF('Rig 202'!$B:$B,Lists!$A$14,'Rig 202'!$I:$I)</f>
        <v>0</v>
      </c>
      <c r="CD16" s="38">
        <f>SUMIF('Rig 202'!$B:$B,Lists!$A$15,'Rig 202'!$C:$C)</f>
        <v>0</v>
      </c>
      <c r="CE16" s="38">
        <f>SUMIF('Rig 202'!$B:$B,Lists!$A$15,'Rig 202'!$E:$E)</f>
        <v>0</v>
      </c>
      <c r="CF16" s="38">
        <f>SUMIF('Rig 202'!$B:$B,Lists!$A$15,'Rig 202'!$F:$F)</f>
        <v>0</v>
      </c>
      <c r="CG16" s="38">
        <f>SUMIF('Rig 202'!$B:$B,Lists!$A$15,'Rig 202'!$G:$G)</f>
        <v>0</v>
      </c>
      <c r="CH16" s="38">
        <f>SUMIF('Rig 202'!$B:$B,Lists!$A$15,'Rig 202'!$H:$H)</f>
        <v>0</v>
      </c>
      <c r="CI16" s="38">
        <f>SUMIF('Rig 202'!$B:$B,Lists!$A$15,'Rig 202'!$I:$I)</f>
        <v>0</v>
      </c>
      <c r="CJ16" s="38">
        <f>SUMIF('Rig 202'!$B:$B,Lists!$A$16,'Rig 202'!$C:$C)</f>
        <v>0</v>
      </c>
      <c r="CK16" s="38">
        <f>SUMIF('Rig 202'!$B:$B,Lists!$A$16,'Rig 202'!$E:$E)</f>
        <v>0</v>
      </c>
      <c r="CL16" s="38">
        <f>SUMIF('Rig 202'!$B:$B,Lists!$A$16,'Rig 202'!$F:$F)</f>
        <v>0</v>
      </c>
      <c r="CM16" s="38">
        <f>SUMIF('Rig 202'!$B:$B,Lists!$A$16,'Rig 202'!$G:$G)</f>
        <v>0</v>
      </c>
      <c r="CN16" s="38">
        <f>SUMIF('Rig 202'!$B:$B,Lists!$A$16,'Rig 202'!$H:$H)</f>
        <v>0</v>
      </c>
      <c r="CO16" s="38">
        <f>SUMIF('Rig 202'!$B:$B,Lists!$A$16,'Rig 202'!$I:$I)</f>
        <v>25</v>
      </c>
      <c r="CP16" s="38">
        <f>SUMIF('Rig 202'!$B:$B,Lists!$A$17,'Rig 202'!$C:$C)</f>
        <v>0</v>
      </c>
      <c r="CQ16" s="38">
        <f>SUMIF('Rig 202'!$B:$B,Lists!$A$17,'Rig 202'!$E:$E)</f>
        <v>0</v>
      </c>
      <c r="CR16" s="38">
        <f>SUMIF('Rig 202'!$B:$B,Lists!$A$17,'Rig 202'!$F:$F)</f>
        <v>0</v>
      </c>
      <c r="CS16" s="38">
        <f>SUMIF('Rig 202'!$B:$B,Lists!$A$17,'Rig 202'!$G:$G)</f>
        <v>0</v>
      </c>
      <c r="CT16" s="38">
        <f>SUMIF('Rig 202'!$B:$B,Lists!$A$17,'Rig 202'!$H:$H)</f>
        <v>0</v>
      </c>
      <c r="CU16" s="38">
        <f>SUMIF('Rig 202'!$B:$B,Lists!$A$17,'Rig 202'!$I:$I)</f>
        <v>0</v>
      </c>
      <c r="CV16" s="38">
        <f>SUMIF('Rig 202'!$B:$B,Lists!$A$18,'Rig 202'!$C:$C)</f>
        <v>36</v>
      </c>
      <c r="CW16" s="38">
        <f>SUMIF('Rig 202'!$B:$B,Lists!$A$18,'Rig 202'!$E:$E)</f>
        <v>0</v>
      </c>
      <c r="CX16" s="38">
        <f>SUMIF('Rig 202'!$B:$B,Lists!$A$18,'Rig 202'!$F:$F)</f>
        <v>0</v>
      </c>
      <c r="CY16" s="38">
        <f>SUMIF('Rig 202'!$B:$B,Lists!$A$18,'Rig 202'!$G:$G)</f>
        <v>0</v>
      </c>
      <c r="CZ16" s="38">
        <f>SUMIF('Rig 202'!$B:$B,Lists!$A$18,'Rig 202'!$H:$H)</f>
        <v>0</v>
      </c>
      <c r="DA16" s="38">
        <f>SUMIF('Rig 202'!$B:$B,Lists!$A$18,'Rig 202'!$I:$I)</f>
        <v>0</v>
      </c>
      <c r="DB16" s="38">
        <f>SUMIF('Rig 202'!$B:$B,Lists!$A$19,'Rig 202'!$C:$C)</f>
        <v>36</v>
      </c>
      <c r="DC16" s="38">
        <f>SUMIF('Rig 202'!$B:$B,Lists!$A$19,'Rig 202'!$E:$E)</f>
        <v>7</v>
      </c>
      <c r="DD16" s="38">
        <f>SUMIF('Rig 202'!$B:$B,Lists!$A$19,'Rig 202'!$F:$F)</f>
        <v>0</v>
      </c>
      <c r="DE16" s="38">
        <f>SUMIF('Rig 202'!$B:$B,Lists!$A$19,'Rig 202'!$G:$G)</f>
        <v>0</v>
      </c>
      <c r="DF16" s="38">
        <f>SUMIF('Rig 202'!$B:$B,Lists!$A$19,'Rig 202'!$H:$H)</f>
        <v>7</v>
      </c>
      <c r="DG16" s="38">
        <f>SUMIF('Rig 202'!$B:$B,Lists!$A$19,'Rig 202'!$I:$I)</f>
        <v>24</v>
      </c>
      <c r="DH16" s="38">
        <f>SUMIF('Rig 202'!$B:$B,Lists!$A$20,'Rig 202'!$C:$C)</f>
        <v>0</v>
      </c>
      <c r="DI16" s="38">
        <f>SUMIF('Rig 202'!$B:$B,Lists!$A$20,'Rig 202'!$E:$E)</f>
        <v>0</v>
      </c>
      <c r="DJ16" s="38">
        <f>SUMIF('Rig 202'!$B:$B,Lists!$A$20,'Rig 202'!$F:$F)</f>
        <v>0</v>
      </c>
      <c r="DK16" s="38">
        <f>SUMIF('Rig 202'!$B:$B,Lists!$A$20,'Rig 202'!$G:$G)</f>
        <v>0</v>
      </c>
      <c r="DL16" s="38">
        <f>SUMIF('Rig 202'!$B:$B,Lists!$A$20,'Rig 202'!$H:$H)</f>
        <v>0</v>
      </c>
      <c r="DM16" s="38">
        <f>SUMIF('Rig 202'!$B:$B,Lists!$A$20,'Rig 202'!$I:$I)</f>
        <v>0</v>
      </c>
      <c r="DN16" s="38">
        <f>SUMIF('Rig 202'!$B:$B,Lists!$A$21,'Rig 202'!$C:$C)</f>
        <v>0</v>
      </c>
      <c r="DO16" s="38">
        <f>SUMIF('Rig 202'!$B:$B,Lists!$A$21,'Rig 202'!$E:$E)</f>
        <v>0</v>
      </c>
      <c r="DP16" s="38">
        <f>SUMIF('Rig 202'!$B:$B,Lists!$A$21,'Rig 202'!$F:$F)</f>
        <v>0</v>
      </c>
      <c r="DQ16" s="38">
        <f>SUMIF('Rig 202'!$B:$B,Lists!$A$21,'Rig 202'!$G:$G)</f>
        <v>0</v>
      </c>
      <c r="DR16" s="38">
        <f>SUMIF('Rig 202'!$B:$B,Lists!$A$21,'Rig 202'!$H:$H)</f>
        <v>0</v>
      </c>
      <c r="DS16" s="38">
        <f>SUMIF('Rig 202'!$B:$B,Lists!$A$21,'Rig 202'!$I:$I)</f>
        <v>0</v>
      </c>
      <c r="DT16" s="38">
        <f>SUMIF('Rig 202'!$B:$B,Lists!$A$22,'Rig 202'!$C:$C)</f>
        <v>3</v>
      </c>
      <c r="DU16" s="38">
        <f>SUMIF('Rig 202'!$B:$B,Lists!$A$22,'Rig 202'!$E:$E)</f>
        <v>4</v>
      </c>
      <c r="DV16" s="38">
        <f>SUMIF('Rig 202'!$B:$B,Lists!$A$22,'Rig 202'!$F:$F)</f>
        <v>0</v>
      </c>
      <c r="DW16" s="38">
        <f>SUMIF('Rig 202'!$B:$B,Lists!$A$22,'Rig 202'!$G:$G)</f>
        <v>0</v>
      </c>
      <c r="DX16" s="38">
        <f>SUMIF('Rig 202'!$B:$B,Lists!$A$22,'Rig 202'!$H:$H)</f>
        <v>0</v>
      </c>
      <c r="DY16" s="38">
        <f>SUMIF('Rig 202'!$B:$B,Lists!$A$22,'Rig 202'!$I:$I)</f>
        <v>0</v>
      </c>
      <c r="DZ16" s="38">
        <f>SUMIF('Rig 202'!$B:$B,Lists!$A$23,'Rig 202'!$C:$C)</f>
        <v>0</v>
      </c>
      <c r="EA16" s="38">
        <f>SUMIF('Rig 202'!$B:$B,Lists!$A$23,'Rig 202'!$E:$E)</f>
        <v>0</v>
      </c>
      <c r="EB16" s="38">
        <f>SUMIF('Rig 202'!$B:$B,Lists!$A$23,'Rig 202'!$F:$F)</f>
        <v>0</v>
      </c>
      <c r="EC16" s="38">
        <f>SUMIF('Rig 202'!$B:$B,Lists!$A$23,'Rig 202'!$G:$G)</f>
        <v>0</v>
      </c>
      <c r="ED16" s="38">
        <f>SUMIF('Rig 202'!$B:$B,Lists!$A$23,'Rig 202'!$H:$H)</f>
        <v>0</v>
      </c>
      <c r="EE16" s="38">
        <f>SUMIF('Rig 202'!$B:$B,Lists!$A$23,'Rig 202'!$I:$I)</f>
        <v>0</v>
      </c>
      <c r="EF16" s="38">
        <f>SUMIF('Rig 202'!$B:$B,Lists!$A$24,'Rig 202'!$C:$C)</f>
        <v>18</v>
      </c>
      <c r="EG16" s="38">
        <f>SUMIF('Rig 202'!$B:$B,Lists!$A$24,'Rig 202'!$E:$E)</f>
        <v>11</v>
      </c>
      <c r="EH16" s="38">
        <f>SUMIF('Rig 202'!$B:$B,Lists!$A$24,'Rig 202'!$F:$F)</f>
        <v>0</v>
      </c>
      <c r="EI16" s="38">
        <f>SUMIF('Rig 202'!$B:$B,Lists!$A$24,'Rig 202'!$G:$G)</f>
        <v>0</v>
      </c>
      <c r="EJ16" s="38">
        <f>SUMIF('Rig 202'!$B:$B,Lists!$A$24,'Rig 202'!$H:$H)</f>
        <v>0</v>
      </c>
      <c r="EK16" s="38">
        <f>SUMIF('Rig 202'!$B:$B,Lists!$A$24,'Rig 202'!$I:$I)</f>
        <v>0</v>
      </c>
      <c r="EL16" s="38">
        <f>SUMIF('Rig 202'!$B:$B,Lists!$A$25,'Rig 202'!$C:$C)</f>
        <v>0</v>
      </c>
      <c r="EM16" s="38">
        <f>SUMIF('Rig 202'!$B:$B,Lists!$A$25,'Rig 202'!$E:$E)</f>
        <v>15</v>
      </c>
      <c r="EN16" s="38">
        <f>SUMIF('Rig 202'!$B:$B,Lists!$A$25,'Rig 202'!$F:$F)</f>
        <v>0</v>
      </c>
      <c r="EO16" s="38">
        <f>SUMIF('Rig 202'!$B:$B,Lists!$A$25,'Rig 202'!$G:$G)</f>
        <v>0</v>
      </c>
      <c r="EP16" s="38">
        <f>SUMIF('Rig 202'!$B:$B,Lists!$A$25,'Rig 202'!$H:$H)</f>
        <v>0</v>
      </c>
      <c r="EQ16" s="38">
        <f>SUMIF('Rig 202'!$B:$B,Lists!$A$25,'Rig 202'!$I:$I)</f>
        <v>0</v>
      </c>
      <c r="ER16" s="38">
        <f>SUMIF('Rig 202'!$B:$B,Lists!$A$26,'Rig 202'!$C:$C)</f>
        <v>0</v>
      </c>
      <c r="ES16" s="38">
        <f>SUMIF('Rig 202'!$B:$B,Lists!$A$26,'Rig 202'!$E:$E)</f>
        <v>0</v>
      </c>
      <c r="ET16" s="38">
        <f>SUMIF('Rig 202'!$B:$B,Lists!$A$26,'Rig 202'!$F:$F)</f>
        <v>0</v>
      </c>
      <c r="EU16" s="38">
        <f>SUMIF('Rig 202'!$B:$B,Lists!$A$26,'Rig 202'!$G:$G)</f>
        <v>0</v>
      </c>
      <c r="EV16" s="38">
        <f>SUMIF('Rig 202'!$B:$B,Lists!$A$26,'Rig 202'!$H:$H)</f>
        <v>0</v>
      </c>
      <c r="EW16" s="38">
        <f>SUMIF('Rig 202'!$B:$B,Lists!$A$26,'Rig 202'!$I:$I)</f>
        <v>0</v>
      </c>
      <c r="EX16" s="38">
        <f>SUMIF('Rig 202'!$B:$B,Lists!$A$27,'Rig 202'!$C:$C)</f>
        <v>20</v>
      </c>
      <c r="EY16" s="38">
        <f>SUMIF('Rig 202'!$B:$B,Lists!$A$27,'Rig 202'!$E:$E)</f>
        <v>7</v>
      </c>
      <c r="EZ16" s="38">
        <f>SUMIF('Rig 202'!$B:$B,Lists!$A$27,'Rig 202'!$F:$F)</f>
        <v>0</v>
      </c>
      <c r="FA16" s="38">
        <f>SUMIF('Rig 202'!$B:$B,Lists!$A$27,'Rig 202'!$G:$G)</f>
        <v>0</v>
      </c>
      <c r="FB16" s="38">
        <f>SUMIF('Rig 202'!$B:$B,Lists!$A$27,'Rig 202'!$H:$H)</f>
        <v>0</v>
      </c>
      <c r="FC16" s="38">
        <f>SUMIF('Rig 202'!$B:$B,Lists!$A$27,'Rig 202'!$I:$I)</f>
        <v>0</v>
      </c>
      <c r="FD16" s="38">
        <f>SUMIF('Rig 202'!$B:$B,Lists!$A$28,'Rig 202'!$C:$C)</f>
        <v>0</v>
      </c>
      <c r="FE16" s="38">
        <f>SUMIF('Rig 202'!$B:$B,Lists!$A$28,'Rig 202'!$E:$E)</f>
        <v>0</v>
      </c>
      <c r="FF16" s="38">
        <f>SUMIF('Rig 202'!$B:$B,Lists!$A$28,'Rig 202'!$F:$F)</f>
        <v>0</v>
      </c>
      <c r="FG16" s="38">
        <f>SUMIF('Rig 202'!$B:$B,Lists!$A$28,'Rig 202'!$G:$G)</f>
        <v>0</v>
      </c>
      <c r="FH16" s="38">
        <f>SUMIF('Rig 202'!$B:$B,Lists!$A$28,'Rig 202'!$H:$H)</f>
        <v>0</v>
      </c>
      <c r="FI16" s="38">
        <f>SUMIF('Rig 202'!$B:$B,Lists!$A$28,'Rig 202'!$I:$I)</f>
        <v>0</v>
      </c>
      <c r="FJ16" s="38">
        <f>SUMIF('Rig 202'!$B:$B,Lists!$A$29,'Rig 202'!$C:$C)</f>
        <v>20</v>
      </c>
      <c r="FK16" s="38">
        <f>SUMIF('Rig 202'!$B:$B,Lists!$A$29,'Rig 202'!$E:$E)</f>
        <v>12</v>
      </c>
      <c r="FL16" s="38">
        <f>SUMIF('Rig 202'!$B:$B,Lists!$A$29,'Rig 202'!$F:$F)</f>
        <v>0</v>
      </c>
      <c r="FM16" s="38">
        <f>SUMIF('Rig 202'!$B:$B,Lists!$A$29,'Rig 202'!$G:$G)</f>
        <v>0</v>
      </c>
      <c r="FN16" s="38">
        <f>SUMIF('Rig 202'!$B:$B,Lists!$A$29,'Rig 202'!$H:$H)</f>
        <v>0</v>
      </c>
      <c r="FO16" s="38">
        <f>SUMIF('Rig 202'!$B:$B,Lists!$A$29,'Rig 202'!$I:$I)</f>
        <v>0</v>
      </c>
      <c r="FP16" s="38">
        <f>SUMIF('Rig 202'!$B:$B,Lists!$A$30,'Rig 202'!$C:$C)</f>
        <v>0</v>
      </c>
      <c r="FQ16" s="38">
        <f>SUMIF('Rig 202'!$B:$B,Lists!$A$30,'Rig 202'!$E:$E)</f>
        <v>1</v>
      </c>
      <c r="FR16" s="38">
        <f>SUMIF('Rig 202'!$B:$B,Lists!$A$30,'Rig 202'!$F:$F)</f>
        <v>0</v>
      </c>
      <c r="FS16" s="38">
        <f>SUMIF('Rig 202'!$B:$B,Lists!$A$30,'Rig 202'!$G:$G)</f>
        <v>0</v>
      </c>
      <c r="FT16" s="38">
        <f>SUMIF('Rig 202'!$B:$B,Lists!$A$30,'Rig 202'!$H:$H)</f>
        <v>0</v>
      </c>
      <c r="FU16" s="38">
        <f>SUMIF('Rig 202'!$B:$B,Lists!$A$30,'Rig 202'!$I:$I)</f>
        <v>0</v>
      </c>
      <c r="FV16" s="38">
        <f>SUMIF('Rig 202'!$B:$B,Lists!$A$31,'Rig 202'!$C:$C)</f>
        <v>0</v>
      </c>
      <c r="FW16" s="38">
        <f>SUMIF('Rig 202'!$B:$B,Lists!$A$31,'Rig 202'!$E:$E)</f>
        <v>0</v>
      </c>
      <c r="FX16" s="38">
        <f>SUMIF('Rig 202'!$B:$B,Lists!$A$31,'Rig 202'!$F:$F)</f>
        <v>0</v>
      </c>
      <c r="FY16" s="38">
        <f>SUMIF('Rig 202'!$B:$B,Lists!$A$31,'Rig 202'!$G:$G)</f>
        <v>0</v>
      </c>
      <c r="FZ16" s="38">
        <f>SUMIF('Rig 202'!$B:$B,Lists!$A$31,'Rig 202'!$H:$H)</f>
        <v>0</v>
      </c>
      <c r="GA16" s="38">
        <f>SUMIF('Rig 202'!$B:$B,Lists!$A$31,'Rig 202'!$I:$I)</f>
        <v>0</v>
      </c>
      <c r="GB16" s="38">
        <f>SUMIF('Rig 202'!$B:$B,Lists!$A$32,'Rig 202'!$C:$C)</f>
        <v>0</v>
      </c>
      <c r="GC16" s="38">
        <f>SUMIF('Rig 202'!$B:$B,Lists!$A$32,'Rig 202'!$E:$E)</f>
        <v>0</v>
      </c>
      <c r="GD16" s="38">
        <f>SUMIF('Rig 202'!$B:$B,Lists!$A$32,'Rig 202'!$F:$F)</f>
        <v>0</v>
      </c>
      <c r="GE16" s="38">
        <f>SUMIF('Rig 202'!$B:$B,Lists!$A$32,'Rig 202'!$G:$G)</f>
        <v>0</v>
      </c>
      <c r="GF16" s="38">
        <f>SUMIF('Rig 202'!$B:$B,Lists!$A$32,'Rig 202'!$H:$H)</f>
        <v>0</v>
      </c>
      <c r="GG16" s="38">
        <f>SUMIF('Rig 202'!$B:$B,Lists!$A$32,'Rig 202'!$I:$I)</f>
        <v>0</v>
      </c>
      <c r="GH16" s="38">
        <f>SUMIF('Rig 202'!$B:$B,Lists!$A$33,'Rig 202'!$C:$C)</f>
        <v>0</v>
      </c>
      <c r="GI16" s="38">
        <f>SUMIF('Rig 202'!$B:$B,Lists!$A$33,'Rig 202'!$E:$E)</f>
        <v>0</v>
      </c>
      <c r="GJ16" s="38">
        <f>SUMIF('Rig 202'!$B:$B,Lists!$A$33,'Rig 202'!$F:$F)</f>
        <v>0</v>
      </c>
      <c r="GK16" s="38">
        <f>SUMIF('Rig 202'!$B:$B,Lists!$A$33,'Rig 202'!$G:$G)</f>
        <v>0</v>
      </c>
      <c r="GL16" s="38">
        <f>SUMIF('Rig 202'!$B:$B,Lists!$A$33,'Rig 202'!$H:$H)</f>
        <v>0</v>
      </c>
      <c r="GM16" s="38">
        <f>SUMIF('Rig 202'!$B:$B,Lists!$A$33,'Rig 202'!$I:$I)</f>
        <v>0</v>
      </c>
      <c r="GN16" s="38">
        <f>SUMIF('Rig 202'!$B:$B,Lists!$A$34,'Rig 202'!$C:$C)</f>
        <v>0</v>
      </c>
      <c r="GO16" s="38">
        <f>SUMIF('Rig 202'!$B:$B,Lists!$A$34,'Rig 202'!$E:$E)</f>
        <v>0</v>
      </c>
      <c r="GP16" s="38">
        <f>SUMIF('Rig 202'!$B:$B,Lists!$A$34,'Rig 202'!$F:$F)</f>
        <v>0</v>
      </c>
      <c r="GQ16" s="38">
        <f>SUMIF('Rig 202'!$B:$B,Lists!$A$34,'Rig 202'!$G:$G)</f>
        <v>0</v>
      </c>
      <c r="GR16" s="38">
        <f>SUMIF('Rig 202'!$B:$B,Lists!$A$34,'Rig 202'!$H:$H)</f>
        <v>0</v>
      </c>
      <c r="GS16" s="38">
        <f>SUMIF('Rig 202'!$B:$B,Lists!$A$34,'Rig 202'!$I:$I)</f>
        <v>0</v>
      </c>
      <c r="GT16" s="38">
        <f>SUMIF('Rig 202'!$B:$B,Lists!$A$35,'Rig 202'!$C:$C)</f>
        <v>0</v>
      </c>
      <c r="GU16" s="38">
        <f>SUMIF('Rig 202'!$B:$B,Lists!$A$35,'Rig 202'!$E:$E)</f>
        <v>0</v>
      </c>
      <c r="GV16" s="38">
        <f>SUMIF('Rig 202'!$B:$B,Lists!$A$35,'Rig 202'!$F:$F)</f>
        <v>0</v>
      </c>
      <c r="GW16" s="38">
        <f>SUMIF('Rig 202'!$B:$B,Lists!$A$35,'Rig 202'!$G:$G)</f>
        <v>0</v>
      </c>
      <c r="GX16" s="38">
        <f>SUMIF('Rig 202'!$B:$B,Lists!$A$35,'Rig 202'!$H:$H)</f>
        <v>0</v>
      </c>
      <c r="GY16" s="38">
        <f>SUMIF('Rig 202'!$B:$B,Lists!$A$35,'Rig 202'!$I:$I)</f>
        <v>0</v>
      </c>
      <c r="GZ16" s="38">
        <f>SUMIF('Rig 202'!$B:$B,Lists!$A$36,'Rig 202'!$C:$C)</f>
        <v>0</v>
      </c>
      <c r="HA16" s="38">
        <f>SUMIF('Rig 202'!$B:$B,Lists!$A$36,'Rig 202'!$E:$E)</f>
        <v>0</v>
      </c>
      <c r="HB16" s="38">
        <f>SUMIF('Rig 202'!$B:$B,Lists!$A$36,'Rig 202'!$F:$F)</f>
        <v>0</v>
      </c>
      <c r="HC16" s="38">
        <f>SUMIF('Rig 202'!$B:$B,Lists!$A$36,'Rig 202'!$G:$G)</f>
        <v>0</v>
      </c>
      <c r="HD16" s="38">
        <f>SUMIF('Rig 202'!$B:$B,Lists!$A$36,'Rig 202'!$H:$H)</f>
        <v>0</v>
      </c>
      <c r="HE16" s="38">
        <f>SUMIF('Rig 202'!$B:$B,Lists!$A$36,'Rig 202'!$I:$I)</f>
        <v>0</v>
      </c>
      <c r="HF16" s="38">
        <f>SUMIF('Rig 202'!$B:$B,Lists!$A$37,'Rig 202'!$C:$C)</f>
        <v>0</v>
      </c>
      <c r="HG16" s="38">
        <f>SUMIF('Rig 202'!$B:$B,Lists!$A$37,'Rig 202'!$E:$E)</f>
        <v>0</v>
      </c>
      <c r="HH16" s="38">
        <f>SUMIF('Rig 202'!$B:$B,Lists!$A$37,'Rig 202'!$F:$F)</f>
        <v>0</v>
      </c>
      <c r="HI16" s="38">
        <f>SUMIF('Rig 202'!$B:$B,Lists!$A$37,'Rig 202'!$G:$G)</f>
        <v>0</v>
      </c>
      <c r="HJ16" s="38">
        <f>SUMIF('Rig 202'!$B:$B,Lists!$A$37,'Rig 202'!$H:$H)</f>
        <v>0</v>
      </c>
      <c r="HK16" s="38">
        <f>SUMIF('Rig 202'!$B:$B,Lists!$A$37,'Rig 202'!$I:$I)</f>
        <v>0</v>
      </c>
      <c r="HL16" s="38">
        <f>SUMIF('Rig 202'!$B:$B,Lists!$A$38,'Rig 202'!$C:$C)</f>
        <v>0</v>
      </c>
      <c r="HM16" s="38">
        <f>SUMIF('Rig 202'!$B:$B,Lists!$A$38,'Rig 202'!$E:$E)</f>
        <v>0</v>
      </c>
      <c r="HN16" s="38">
        <f>SUMIF('Rig 202'!$B:$B,Lists!$A$38,'Rig 202'!$F:$F)</f>
        <v>0</v>
      </c>
      <c r="HO16" s="38">
        <f>SUMIF('Rig 202'!$B:$B,Lists!$A$38,'Rig 202'!$G:$G)</f>
        <v>0</v>
      </c>
      <c r="HP16" s="38">
        <f>SUMIF('Rig 202'!$B:$B,Lists!$A$38,'Rig 202'!$H:$H)</f>
        <v>0</v>
      </c>
      <c r="HQ16" s="38">
        <f>SUMIF('Rig 202'!$B:$B,Lists!$A$38,'Rig 202'!$I:$I)</f>
        <v>0</v>
      </c>
      <c r="HR16" s="38">
        <f>SUMIF('Rig 202'!$B:$B,Lists!$A$39,'Rig 202'!$C:$C)</f>
        <v>0</v>
      </c>
      <c r="HS16" s="38">
        <f>SUMIF('Rig 202'!$B:$B,Lists!$A$39,'Rig 202'!$E:$E)</f>
        <v>5</v>
      </c>
      <c r="HT16" s="38">
        <f>SUMIF('Rig 202'!$B:$B,Lists!$A$39,'Rig 202'!$F:$F)</f>
        <v>0</v>
      </c>
      <c r="HU16" s="38">
        <f>SUMIF('Rig 202'!$B:$B,Lists!$A$39,'Rig 202'!$G:$G)</f>
        <v>0</v>
      </c>
      <c r="HV16" s="38">
        <f>SUMIF('Rig 202'!$B:$B,Lists!$A$39,'Rig 202'!$H:$H)</f>
        <v>0</v>
      </c>
      <c r="HW16" s="38">
        <f>SUMIF('Rig 202'!$B:$B,Lists!$A$39,'Rig 202'!$I:$I)</f>
        <v>0</v>
      </c>
      <c r="HX16" s="38">
        <f>SUMIF('Rig 202'!$B:$B,Lists!$A$40,'Rig 202'!$C:$C)</f>
        <v>0</v>
      </c>
      <c r="HY16" s="38">
        <f>SUMIF('Rig 202'!$B:$B,Lists!$A$40,'Rig 202'!$E:$E)</f>
        <v>1</v>
      </c>
      <c r="HZ16" s="38">
        <f>SUMIF('Rig 202'!$B:$B,Lists!$A$40,'Rig 202'!$F:$F)</f>
        <v>0</v>
      </c>
      <c r="IA16" s="38">
        <f>SUMIF('Rig 202'!$B:$B,Lists!$A$40,'Rig 202'!$G:$G)</f>
        <v>0</v>
      </c>
      <c r="IB16" s="38">
        <f>SUMIF('Rig 202'!$B:$B,Lists!$A$40,'Rig 202'!$H:$H)</f>
        <v>0</v>
      </c>
      <c r="IC16" s="38">
        <f>SUMIF('Rig 202'!$B:$B,Lists!$A$40,'Rig 202'!$I:$I)</f>
        <v>0</v>
      </c>
      <c r="ID16" s="38">
        <f>SUMIF('Rig 202'!$B:$B,Lists!$A$41,'Rig 202'!$C:$C)</f>
        <v>0</v>
      </c>
      <c r="IE16" s="38">
        <f>SUMIF('Rig 202'!$B:$B,Lists!$A$41,'Rig 202'!$E:$E)</f>
        <v>0</v>
      </c>
      <c r="IF16" s="38">
        <f>SUMIF('Rig 202'!$B:$B,Lists!$A$41,'Rig 202'!$F:$F)</f>
        <v>0</v>
      </c>
      <c r="IG16" s="38">
        <f>SUMIF('Rig 202'!$B:$B,Lists!$A$41,'Rig 202'!$G:$G)</f>
        <v>0</v>
      </c>
      <c r="IH16" s="38">
        <f>SUMIF('Rig 202'!$B:$B,Lists!$A$41,'Rig 202'!$H:$H)</f>
        <v>0</v>
      </c>
      <c r="II16" s="38">
        <f>SUMIF('Rig 202'!$B:$B,Lists!$A$41,'Rig 202'!$I:$I)</f>
        <v>0</v>
      </c>
    </row>
    <row r="17" spans="1:243" ht="19.5" customHeight="1" x14ac:dyDescent="0.3">
      <c r="A17" s="31" t="s">
        <v>88</v>
      </c>
      <c r="B17" s="32">
        <f>'Rig 203'!D2</f>
        <v>46156</v>
      </c>
      <c r="C17" s="33" t="s">
        <v>77</v>
      </c>
      <c r="D17" s="34">
        <f>SUMIF('Rig 203'!$B:$B,Lists!$A$2,'Rig 203'!$C:$C)</f>
        <v>0</v>
      </c>
      <c r="E17" s="34">
        <f>SUMIF('Rig 203'!$B:$B,Lists!$A$2,'Rig 203'!$E:$E)</f>
        <v>0</v>
      </c>
      <c r="F17" s="34">
        <f>SUMIF('Rig 203'!$B:$B,Lists!$A$2,'Rig 203'!$F:$F)</f>
        <v>0</v>
      </c>
      <c r="G17" s="34">
        <f>SUMIF('Rig 203'!$B:$B,Lists!$A$2,'Rig 203'!$G:$G)</f>
        <v>0</v>
      </c>
      <c r="H17" s="34">
        <f>SUMIF('Rig 203'!$B:$B,Lists!$A$2,'Rig 203'!$H:$H)</f>
        <v>0</v>
      </c>
      <c r="I17" s="34">
        <f>SUMIF('Rig 203'!$B:$B,Lists!$A$2,'Rig 203'!$I:$I)</f>
        <v>0</v>
      </c>
      <c r="J17" s="34">
        <f>SUMIF('Rig 203'!$B:$B,Lists!$A$3,'Rig 203'!$C:$C)</f>
        <v>182</v>
      </c>
      <c r="K17" s="34">
        <f>SUMIF('Rig 203'!$B:$B,Lists!$A$3,'Rig 203'!$E:$E)</f>
        <v>0</v>
      </c>
      <c r="L17" s="34">
        <f>SUMIF('Rig 203'!$B:$B,Lists!$A$3,'Rig 203'!$F:$F)</f>
        <v>0</v>
      </c>
      <c r="M17" s="34">
        <f>SUMIF('Rig 203'!$B:$B,Lists!$A$3,'Rig 203'!$G:$G)</f>
        <v>0</v>
      </c>
      <c r="N17" s="34">
        <f>SUMIF('Rig 203'!$B:$B,Lists!$A$3,'Rig 203'!$H:$H)</f>
        <v>0</v>
      </c>
      <c r="O17" s="34">
        <f>SUMIF('Rig 203'!$B:$B,Lists!$A$3,'Rig 203'!$I:$I)</f>
        <v>0</v>
      </c>
      <c r="P17" s="34">
        <f>SUMIF('Rig 203'!$B:$B,Lists!$A$4,'Rig 203'!$C:$C)</f>
        <v>0</v>
      </c>
      <c r="Q17" s="34">
        <f>SUMIF('Rig 203'!$B:$B,Lists!$A$4,'Rig 203'!$E:$E)</f>
        <v>0</v>
      </c>
      <c r="R17" s="34">
        <f>SUMIF('Rig 203'!$B:$B,Lists!$A$4,'Rig 203'!$F:$F)</f>
        <v>0</v>
      </c>
      <c r="S17" s="34">
        <f>SUMIF('Rig 203'!$B:$B,Lists!$A$4,'Rig 203'!$G:$G)</f>
        <v>0</v>
      </c>
      <c r="T17" s="34">
        <f>SUMIF('Rig 203'!$B:$B,Lists!$A$4,'Rig 203'!$H:$H)</f>
        <v>0</v>
      </c>
      <c r="U17" s="34">
        <f>SUMIF('Rig 203'!$B:$B,Lists!$A$4,'Rig 203'!$I:$I)</f>
        <v>0</v>
      </c>
      <c r="V17" s="34">
        <f>SUMIF('Rig 203'!$B:$B,Lists!$A$5,'Rig 203'!$C:$C)</f>
        <v>0</v>
      </c>
      <c r="W17" s="34">
        <f>SUMIF('Rig 203'!$B:$B,Lists!$A$5,'Rig 203'!$E:$E)</f>
        <v>0</v>
      </c>
      <c r="X17" s="34">
        <f>SUMIF('Rig 203'!$B:$B,Lists!$A$5,'Rig 203'!$F:$F)</f>
        <v>0</v>
      </c>
      <c r="Y17" s="34">
        <f>SUMIF('Rig 203'!$B:$B,Lists!$A$5,'Rig 203'!$G:$G)</f>
        <v>0</v>
      </c>
      <c r="Z17" s="34">
        <f>SUMIF('Rig 203'!$B:$B,Lists!$A$5,'Rig 203'!$H:$H)</f>
        <v>0</v>
      </c>
      <c r="AA17" s="34">
        <f>SUMIF('Rig 203'!$B:$B,Lists!$A$5,'Rig 203'!$I:$I)</f>
        <v>0</v>
      </c>
      <c r="AB17" s="34">
        <f>SUMIF('Rig 203'!$B:$B,Lists!$A$6,'Rig 203'!$C:$C)</f>
        <v>0</v>
      </c>
      <c r="AC17" s="34">
        <f>SUMIF('Rig 203'!$B:$B,Lists!$A$6,'Rig 203'!$E:$E)</f>
        <v>0</v>
      </c>
      <c r="AD17" s="34">
        <f>SUMIF('Rig 203'!$B:$B,Lists!$A$6,'Rig 203'!$F:$F)</f>
        <v>0</v>
      </c>
      <c r="AE17" s="34">
        <f>SUMIF('Rig 203'!$B:$B,Lists!$A$6,'Rig 203'!$G:$G)</f>
        <v>0</v>
      </c>
      <c r="AF17" s="34">
        <f>SUMIF('Rig 203'!$B:$B,Lists!$A$6,'Rig 203'!$H:$H)</f>
        <v>0</v>
      </c>
      <c r="AG17" s="34">
        <f>SUMIF('Rig 203'!$B:$B,Lists!$A$6,'Rig 203'!$I:$I)</f>
        <v>0</v>
      </c>
      <c r="AH17" s="34">
        <f>SUMIF('Rig 203'!$B:$B,Lists!$A$7,'Rig 203'!$C:$C)</f>
        <v>0</v>
      </c>
      <c r="AI17" s="34">
        <f>SUMIF('Rig 203'!$B:$B,Lists!$A$7,'Rig 203'!$E:$E)</f>
        <v>0</v>
      </c>
      <c r="AJ17" s="34">
        <f>SUMIF('Rig 203'!$B:$B,Lists!$A$7,'Rig 203'!$F:$F)</f>
        <v>0</v>
      </c>
      <c r="AK17" s="34">
        <f>SUMIF('Rig 203'!$B:$B,Lists!$A$7,'Rig 203'!$G:$G)</f>
        <v>0</v>
      </c>
      <c r="AL17" s="34">
        <f>SUMIF('Rig 203'!$B:$B,Lists!$A$7,'Rig 203'!$H:$H)</f>
        <v>0</v>
      </c>
      <c r="AM17" s="34">
        <f>SUMIF('Rig 203'!$B:$B,Lists!$A$7,'Rig 203'!$I:$I)</f>
        <v>0</v>
      </c>
      <c r="AN17" s="34">
        <f>SUMIF('Rig 203'!$B:$B,Lists!$A$8,'Rig 203'!$C:$C)</f>
        <v>0</v>
      </c>
      <c r="AO17" s="34">
        <f>SUMIF('Rig 203'!$B:$B,Lists!$A$8,'Rig 203'!$E:$E)</f>
        <v>0</v>
      </c>
      <c r="AP17" s="34">
        <f>SUMIF('Rig 203'!$B:$B,Lists!$A$8,'Rig 203'!$F:$F)</f>
        <v>0</v>
      </c>
      <c r="AQ17" s="34">
        <f>SUMIF('Rig 203'!$B:$B,Lists!$A$8,'Rig 203'!$G:$G)</f>
        <v>0</v>
      </c>
      <c r="AR17" s="34">
        <f>SUMIF('Rig 203'!$B:$B,Lists!$A$8,'Rig 203'!$H:$H)</f>
        <v>0</v>
      </c>
      <c r="AS17" s="34">
        <f>SUMIF('Rig 203'!$B:$B,Lists!$A$8,'Rig 203'!$I:$I)</f>
        <v>0</v>
      </c>
      <c r="AT17" s="34">
        <f>SUMIF('Rig 203'!$B:$B,Lists!$A$9,'Rig 203'!$C:$C)</f>
        <v>210</v>
      </c>
      <c r="AU17" s="34">
        <f>SUMIF('Rig 203'!$B:$B,Lists!$A$9,'Rig 203'!$E:$E)</f>
        <v>207</v>
      </c>
      <c r="AV17" s="34">
        <f>SUMIF('Rig 203'!$B:$B,Lists!$A$9,'Rig 203'!$F:$F)</f>
        <v>0</v>
      </c>
      <c r="AW17" s="34">
        <f>SUMIF('Rig 203'!$B:$B,Lists!$A$9,'Rig 203'!$G:$G)</f>
        <v>0</v>
      </c>
      <c r="AX17" s="34">
        <f>SUMIF('Rig 203'!$B:$B,Lists!$A$9,'Rig 203'!$H:$H)</f>
        <v>0</v>
      </c>
      <c r="AY17" s="34">
        <f>SUMIF('Rig 203'!$B:$B,Lists!$A$9,'Rig 203'!$I:$I)</f>
        <v>0</v>
      </c>
      <c r="AZ17" s="34">
        <f>SUMIF('Rig 203'!$B:$B,Lists!$A$10,'Rig 203'!$C:$C)</f>
        <v>0</v>
      </c>
      <c r="BA17" s="34">
        <f>SUMIF('Rig 203'!$B:$B,Lists!$A$10,'Rig 203'!$E:$E)</f>
        <v>0</v>
      </c>
      <c r="BB17" s="34">
        <f>SUMIF('Rig 203'!$B:$B,Lists!$A$10,'Rig 203'!$F:$F)</f>
        <v>0</v>
      </c>
      <c r="BC17" s="34">
        <f>SUMIF('Rig 203'!$B:$B,Lists!$A$10,'Rig 203'!$G:$G)</f>
        <v>0</v>
      </c>
      <c r="BD17" s="34">
        <f>SUMIF('Rig 203'!$B:$B,Lists!$A$10,'Rig 203'!$H:$H)</f>
        <v>0</v>
      </c>
      <c r="BE17" s="34">
        <f>SUMIF('Rig 203'!$B:$B,Lists!$A$10,'Rig 203'!$I:$I)</f>
        <v>0</v>
      </c>
      <c r="BF17" s="34">
        <f>SUMIF('Rig 203'!$B:$B,Lists!$A$11,'Rig 203'!$C:$C)</f>
        <v>289</v>
      </c>
      <c r="BG17" s="34">
        <f>SUMIF('Rig 203'!$B:$B,Lists!$A$11,'Rig 203'!$E:$E)</f>
        <v>325</v>
      </c>
      <c r="BH17" s="34">
        <f>SUMIF('Rig 203'!$B:$B,Lists!$A$11,'Rig 203'!$F:$F)</f>
        <v>0</v>
      </c>
      <c r="BI17" s="34">
        <f>SUMIF('Rig 203'!$B:$B,Lists!$A$11,'Rig 203'!$G:$G)</f>
        <v>0</v>
      </c>
      <c r="BJ17" s="34">
        <f>SUMIF('Rig 203'!$B:$B,Lists!$A$11,'Rig 203'!$H:$H)</f>
        <v>2</v>
      </c>
      <c r="BK17" s="34">
        <f>SUMIF('Rig 203'!$B:$B,Lists!$A$11,'Rig 203'!$I:$I)</f>
        <v>0</v>
      </c>
      <c r="BL17" s="34">
        <f>SUMIF('Rig 203'!$B:$B,Lists!$A$12,'Rig 203'!$C:$C)</f>
        <v>0</v>
      </c>
      <c r="BM17" s="34">
        <f>SUMIF('Rig 203'!$B:$B,Lists!$A$12,'Rig 203'!$E:$E)</f>
        <v>0</v>
      </c>
      <c r="BN17" s="34">
        <f>SUMIF('Rig 203'!$B:$B,Lists!$A$12,'Rig 203'!$F:$F)</f>
        <v>0</v>
      </c>
      <c r="BO17" s="34">
        <f>SUMIF('Rig 203'!$B:$B,Lists!$A$12,'Rig 203'!$G:$G)</f>
        <v>0</v>
      </c>
      <c r="BP17" s="34">
        <f>SUMIF('Rig 203'!$B:$B,Lists!$A$12,'Rig 203'!$H:$H)</f>
        <v>0</v>
      </c>
      <c r="BQ17" s="34">
        <f>SUMIF('Rig 203'!$B:$B,Lists!$A$12,'Rig 203'!$I:$I)</f>
        <v>0</v>
      </c>
      <c r="BR17" s="34">
        <f>SUMIF('Rig 203'!$B:$B,Lists!$A$13,'Rig 203'!$C:$C)</f>
        <v>0</v>
      </c>
      <c r="BS17" s="34">
        <f>SUMIF('Rig 203'!$B:$B,Lists!$A$13,'Rig 203'!$E:$E)</f>
        <v>0</v>
      </c>
      <c r="BT17" s="34">
        <f>SUMIF('Rig 203'!$B:$B,Lists!$A$13,'Rig 203'!$F:$F)</f>
        <v>0</v>
      </c>
      <c r="BU17" s="34">
        <f>SUMIF('Rig 203'!$B:$B,Lists!$A$13,'Rig 203'!$G:$G)</f>
        <v>0</v>
      </c>
      <c r="BV17" s="34">
        <f>SUMIF('Rig 203'!$B:$B,Lists!$A$13,'Rig 203'!$H:$H)</f>
        <v>0</v>
      </c>
      <c r="BW17" s="34">
        <f>SUMIF('Rig 203'!$B:$B,Lists!$A$13,'Rig 203'!$I:$I)</f>
        <v>0</v>
      </c>
      <c r="BX17" s="34">
        <f>SUMIF('Rig 203'!$B:$B,Lists!$A$14,'Rig 203'!$C:$C)</f>
        <v>0</v>
      </c>
      <c r="BY17" s="34">
        <f>SUMIF('Rig 203'!$B:$B,Lists!$A$14,'Rig 203'!$E:$E)</f>
        <v>0</v>
      </c>
      <c r="BZ17" s="34">
        <f>SUMIF('Rig 203'!$B:$B,Lists!$A$14,'Rig 203'!$F:$F)</f>
        <v>0</v>
      </c>
      <c r="CA17" s="34">
        <f>SUMIF('Rig 203'!$B:$B,Lists!$A$14,'Rig 203'!$G:$G)</f>
        <v>0</v>
      </c>
      <c r="CB17" s="34">
        <f>SUMIF('Rig 203'!$B:$B,Lists!$A$14,'Rig 203'!$H:$H)</f>
        <v>0</v>
      </c>
      <c r="CC17" s="34">
        <f>SUMIF('Rig 203'!$B:$B,Lists!$A$14,'Rig 203'!$I:$I)</f>
        <v>0</v>
      </c>
      <c r="CD17" s="34">
        <f>SUMIF('Rig 203'!$B:$B,Lists!$A$15,'Rig 203'!$C:$C)</f>
        <v>0</v>
      </c>
      <c r="CE17" s="34">
        <f>SUMIF('Rig 203'!$B:$B,Lists!$A$15,'Rig 203'!$E:$E)</f>
        <v>0</v>
      </c>
      <c r="CF17" s="34">
        <f>SUMIF('Rig 203'!$B:$B,Lists!$A$15,'Rig 203'!$F:$F)</f>
        <v>0</v>
      </c>
      <c r="CG17" s="34">
        <f>SUMIF('Rig 203'!$B:$B,Lists!$A$15,'Rig 203'!$G:$G)</f>
        <v>0</v>
      </c>
      <c r="CH17" s="34">
        <f>SUMIF('Rig 203'!$B:$B,Lists!$A$15,'Rig 203'!$H:$H)</f>
        <v>0</v>
      </c>
      <c r="CI17" s="34">
        <f>SUMIF('Rig 203'!$B:$B,Lists!$A$15,'Rig 203'!$I:$I)</f>
        <v>0</v>
      </c>
      <c r="CJ17" s="34">
        <f>SUMIF('Rig 203'!$B:$B,Lists!$A$16,'Rig 203'!$C:$C)</f>
        <v>36</v>
      </c>
      <c r="CK17" s="34">
        <f>SUMIF('Rig 203'!$B:$B,Lists!$A$16,'Rig 203'!$E:$E)</f>
        <v>0</v>
      </c>
      <c r="CL17" s="34">
        <f>SUMIF('Rig 203'!$B:$B,Lists!$A$16,'Rig 203'!$F:$F)</f>
        <v>0</v>
      </c>
      <c r="CM17" s="34">
        <f>SUMIF('Rig 203'!$B:$B,Lists!$A$16,'Rig 203'!$G:$G)</f>
        <v>0</v>
      </c>
      <c r="CN17" s="34">
        <f>SUMIF('Rig 203'!$B:$B,Lists!$A$16,'Rig 203'!$H:$H)</f>
        <v>0</v>
      </c>
      <c r="CO17" s="34">
        <f>SUMIF('Rig 203'!$B:$B,Lists!$A$16,'Rig 203'!$I:$I)</f>
        <v>0</v>
      </c>
      <c r="CP17" s="34">
        <f>SUMIF('Rig 203'!$B:$B,Lists!$A$17,'Rig 203'!$C:$C)</f>
        <v>0</v>
      </c>
      <c r="CQ17" s="34">
        <f>SUMIF('Rig 203'!$B:$B,Lists!$A$17,'Rig 203'!$E:$E)</f>
        <v>0</v>
      </c>
      <c r="CR17" s="34">
        <f>SUMIF('Rig 203'!$B:$B,Lists!$A$17,'Rig 203'!$F:$F)</f>
        <v>0</v>
      </c>
      <c r="CS17" s="34">
        <f>SUMIF('Rig 203'!$B:$B,Lists!$A$17,'Rig 203'!$G:$G)</f>
        <v>0</v>
      </c>
      <c r="CT17" s="34">
        <f>SUMIF('Rig 203'!$B:$B,Lists!$A$17,'Rig 203'!$H:$H)</f>
        <v>0</v>
      </c>
      <c r="CU17" s="34">
        <f>SUMIF('Rig 203'!$B:$B,Lists!$A$17,'Rig 203'!$I:$I)</f>
        <v>0</v>
      </c>
      <c r="CV17" s="34">
        <f>SUMIF('Rig 203'!$B:$B,Lists!$A$18,'Rig 203'!$C:$C)</f>
        <v>0</v>
      </c>
      <c r="CW17" s="34">
        <f>SUMIF('Rig 203'!$B:$B,Lists!$A$18,'Rig 203'!$E:$E)</f>
        <v>0</v>
      </c>
      <c r="CX17" s="34">
        <f>SUMIF('Rig 203'!$B:$B,Lists!$A$18,'Rig 203'!$F:$F)</f>
        <v>0</v>
      </c>
      <c r="CY17" s="34">
        <f>SUMIF('Rig 203'!$B:$B,Lists!$A$18,'Rig 203'!$G:$G)</f>
        <v>0</v>
      </c>
      <c r="CZ17" s="34">
        <f>SUMIF('Rig 203'!$B:$B,Lists!$A$18,'Rig 203'!$H:$H)</f>
        <v>0</v>
      </c>
      <c r="DA17" s="34">
        <f>SUMIF('Rig 203'!$B:$B,Lists!$A$18,'Rig 203'!$I:$I)</f>
        <v>0</v>
      </c>
      <c r="DB17" s="34">
        <f>SUMIF('Rig 203'!$B:$B,Lists!$A$19,'Rig 203'!$C:$C)</f>
        <v>37</v>
      </c>
      <c r="DC17" s="34">
        <f>SUMIF('Rig 203'!$B:$B,Lists!$A$19,'Rig 203'!$E:$E)</f>
        <v>36</v>
      </c>
      <c r="DD17" s="34">
        <f>SUMIF('Rig 203'!$B:$B,Lists!$A$19,'Rig 203'!$F:$F)</f>
        <v>0</v>
      </c>
      <c r="DE17" s="34">
        <f>SUMIF('Rig 203'!$B:$B,Lists!$A$19,'Rig 203'!$G:$G)</f>
        <v>0</v>
      </c>
      <c r="DF17" s="34">
        <f>SUMIF('Rig 203'!$B:$B,Lists!$A$19,'Rig 203'!$H:$H)</f>
        <v>1</v>
      </c>
      <c r="DG17" s="34">
        <f>SUMIF('Rig 203'!$B:$B,Lists!$A$19,'Rig 203'!$I:$I)</f>
        <v>0</v>
      </c>
      <c r="DH17" s="34">
        <f>SUMIF('Rig 203'!$B:$B,Lists!$A$20,'Rig 203'!$C:$C)</f>
        <v>0</v>
      </c>
      <c r="DI17" s="34">
        <f>SUMIF('Rig 203'!$B:$B,Lists!$A$20,'Rig 203'!$E:$E)</f>
        <v>0</v>
      </c>
      <c r="DJ17" s="34">
        <f>SUMIF('Rig 203'!$B:$B,Lists!$A$20,'Rig 203'!$F:$F)</f>
        <v>0</v>
      </c>
      <c r="DK17" s="34">
        <f>SUMIF('Rig 203'!$B:$B,Lists!$A$20,'Rig 203'!$G:$G)</f>
        <v>0</v>
      </c>
      <c r="DL17" s="34">
        <f>SUMIF('Rig 203'!$B:$B,Lists!$A$20,'Rig 203'!$H:$H)</f>
        <v>0</v>
      </c>
      <c r="DM17" s="34">
        <f>SUMIF('Rig 203'!$B:$B,Lists!$A$20,'Rig 203'!$I:$I)</f>
        <v>0</v>
      </c>
      <c r="DN17" s="34">
        <f>SUMIF('Rig 203'!$B:$B,Lists!$A$21,'Rig 203'!$C:$C)</f>
        <v>0</v>
      </c>
      <c r="DO17" s="34">
        <f>SUMIF('Rig 203'!$B:$B,Lists!$A$21,'Rig 203'!$E:$E)</f>
        <v>0</v>
      </c>
      <c r="DP17" s="34">
        <f>SUMIF('Rig 203'!$B:$B,Lists!$A$21,'Rig 203'!$F:$F)</f>
        <v>0</v>
      </c>
      <c r="DQ17" s="34">
        <f>SUMIF('Rig 203'!$B:$B,Lists!$A$21,'Rig 203'!$G:$G)</f>
        <v>0</v>
      </c>
      <c r="DR17" s="34">
        <f>SUMIF('Rig 203'!$B:$B,Lists!$A$21,'Rig 203'!$H:$H)</f>
        <v>0</v>
      </c>
      <c r="DS17" s="34">
        <f>SUMIF('Rig 203'!$B:$B,Lists!$A$21,'Rig 203'!$I:$I)</f>
        <v>0</v>
      </c>
      <c r="DT17" s="34">
        <f>SUMIF('Rig 203'!$B:$B,Lists!$A$22,'Rig 203'!$C:$C)</f>
        <v>3</v>
      </c>
      <c r="DU17" s="34">
        <f>SUMIF('Rig 203'!$B:$B,Lists!$A$22,'Rig 203'!$E:$E)</f>
        <v>2</v>
      </c>
      <c r="DV17" s="34">
        <f>SUMIF('Rig 203'!$B:$B,Lists!$A$22,'Rig 203'!$F:$F)</f>
        <v>0</v>
      </c>
      <c r="DW17" s="34">
        <f>SUMIF('Rig 203'!$B:$B,Lists!$A$22,'Rig 203'!$G:$G)</f>
        <v>0</v>
      </c>
      <c r="DX17" s="34">
        <f>SUMIF('Rig 203'!$B:$B,Lists!$A$22,'Rig 203'!$H:$H)</f>
        <v>0</v>
      </c>
      <c r="DY17" s="34">
        <f>SUMIF('Rig 203'!$B:$B,Lists!$A$22,'Rig 203'!$I:$I)</f>
        <v>0</v>
      </c>
      <c r="DZ17" s="34">
        <f>SUMIF('Rig 203'!$B:$B,Lists!$A$23,'Rig 203'!$C:$C)</f>
        <v>0</v>
      </c>
      <c r="EA17" s="34">
        <f>SUMIF('Rig 203'!$B:$B,Lists!$A$23,'Rig 203'!$E:$E)</f>
        <v>0</v>
      </c>
      <c r="EB17" s="34">
        <f>SUMIF('Rig 203'!$B:$B,Lists!$A$23,'Rig 203'!$F:$F)</f>
        <v>0</v>
      </c>
      <c r="EC17" s="34">
        <f>SUMIF('Rig 203'!$B:$B,Lists!$A$23,'Rig 203'!$G:$G)</f>
        <v>0</v>
      </c>
      <c r="ED17" s="34">
        <f>SUMIF('Rig 203'!$B:$B,Lists!$A$23,'Rig 203'!$H:$H)</f>
        <v>0</v>
      </c>
      <c r="EE17" s="34">
        <f>SUMIF('Rig 203'!$B:$B,Lists!$A$23,'Rig 203'!$I:$I)</f>
        <v>0</v>
      </c>
      <c r="EF17" s="34">
        <f>SUMIF('Rig 203'!$B:$B,Lists!$A$24,'Rig 203'!$C:$C)</f>
        <v>18</v>
      </c>
      <c r="EG17" s="34">
        <f>SUMIF('Rig 203'!$B:$B,Lists!$A$24,'Rig 203'!$E:$E)</f>
        <v>23</v>
      </c>
      <c r="EH17" s="34">
        <f>SUMIF('Rig 203'!$B:$B,Lists!$A$24,'Rig 203'!$F:$F)</f>
        <v>0</v>
      </c>
      <c r="EI17" s="34">
        <f>SUMIF('Rig 203'!$B:$B,Lists!$A$24,'Rig 203'!$G:$G)</f>
        <v>0</v>
      </c>
      <c r="EJ17" s="34">
        <f>SUMIF('Rig 203'!$B:$B,Lists!$A$24,'Rig 203'!$H:$H)</f>
        <v>0</v>
      </c>
      <c r="EK17" s="34">
        <f>SUMIF('Rig 203'!$B:$B,Lists!$A$24,'Rig 203'!$I:$I)</f>
        <v>0</v>
      </c>
      <c r="EL17" s="34">
        <f>SUMIF('Rig 203'!$B:$B,Lists!$A$25,'Rig 203'!$C:$C)</f>
        <v>0</v>
      </c>
      <c r="EM17" s="34">
        <f>SUMIF('Rig 203'!$B:$B,Lists!$A$25,'Rig 203'!$E:$E)</f>
        <v>0</v>
      </c>
      <c r="EN17" s="34">
        <f>SUMIF('Rig 203'!$B:$B,Lists!$A$25,'Rig 203'!$F:$F)</f>
        <v>0</v>
      </c>
      <c r="EO17" s="34">
        <f>SUMIF('Rig 203'!$B:$B,Lists!$A$25,'Rig 203'!$G:$G)</f>
        <v>0</v>
      </c>
      <c r="EP17" s="34">
        <f>SUMIF('Rig 203'!$B:$B,Lists!$A$25,'Rig 203'!$H:$H)</f>
        <v>0</v>
      </c>
      <c r="EQ17" s="34">
        <f>SUMIF('Rig 203'!$B:$B,Lists!$A$25,'Rig 203'!$I:$I)</f>
        <v>0</v>
      </c>
      <c r="ER17" s="34">
        <f>SUMIF('Rig 203'!$B:$B,Lists!$A$26,'Rig 203'!$C:$C)</f>
        <v>0</v>
      </c>
      <c r="ES17" s="34">
        <f>SUMIF('Rig 203'!$B:$B,Lists!$A$26,'Rig 203'!$E:$E)</f>
        <v>0</v>
      </c>
      <c r="ET17" s="34">
        <f>SUMIF('Rig 203'!$B:$B,Lists!$A$26,'Rig 203'!$F:$F)</f>
        <v>0</v>
      </c>
      <c r="EU17" s="34">
        <f>SUMIF('Rig 203'!$B:$B,Lists!$A$26,'Rig 203'!$G:$G)</f>
        <v>0</v>
      </c>
      <c r="EV17" s="34">
        <f>SUMIF('Rig 203'!$B:$B,Lists!$A$26,'Rig 203'!$H:$H)</f>
        <v>0</v>
      </c>
      <c r="EW17" s="34">
        <f>SUMIF('Rig 203'!$B:$B,Lists!$A$26,'Rig 203'!$I:$I)</f>
        <v>0</v>
      </c>
      <c r="EX17" s="34">
        <f>SUMIF('Rig 203'!$B:$B,Lists!$A$27,'Rig 203'!$C:$C)</f>
        <v>20</v>
      </c>
      <c r="EY17" s="34">
        <f>SUMIF('Rig 203'!$B:$B,Lists!$A$27,'Rig 203'!$E:$E)</f>
        <v>26</v>
      </c>
      <c r="EZ17" s="34">
        <f>SUMIF('Rig 203'!$B:$B,Lists!$A$27,'Rig 203'!$F:$F)</f>
        <v>0</v>
      </c>
      <c r="FA17" s="34">
        <f>SUMIF('Rig 203'!$B:$B,Lists!$A$27,'Rig 203'!$G:$G)</f>
        <v>0</v>
      </c>
      <c r="FB17" s="34">
        <f>SUMIF('Rig 203'!$B:$B,Lists!$A$27,'Rig 203'!$H:$H)</f>
        <v>1</v>
      </c>
      <c r="FC17" s="34">
        <f>SUMIF('Rig 203'!$B:$B,Lists!$A$27,'Rig 203'!$I:$I)</f>
        <v>0</v>
      </c>
      <c r="FD17" s="34">
        <f>SUMIF('Rig 203'!$B:$B,Lists!$A$28,'Rig 203'!$C:$C)</f>
        <v>0</v>
      </c>
      <c r="FE17" s="34">
        <f>SUMIF('Rig 203'!$B:$B,Lists!$A$28,'Rig 203'!$E:$E)</f>
        <v>0</v>
      </c>
      <c r="FF17" s="34">
        <f>SUMIF('Rig 203'!$B:$B,Lists!$A$28,'Rig 203'!$F:$F)</f>
        <v>0</v>
      </c>
      <c r="FG17" s="34">
        <f>SUMIF('Rig 203'!$B:$B,Lists!$A$28,'Rig 203'!$G:$G)</f>
        <v>0</v>
      </c>
      <c r="FH17" s="34">
        <f>SUMIF('Rig 203'!$B:$B,Lists!$A$28,'Rig 203'!$H:$H)</f>
        <v>0</v>
      </c>
      <c r="FI17" s="34">
        <f>SUMIF('Rig 203'!$B:$B,Lists!$A$28,'Rig 203'!$I:$I)</f>
        <v>0</v>
      </c>
      <c r="FJ17" s="34">
        <f>SUMIF('Rig 203'!$B:$B,Lists!$A$29,'Rig 203'!$C:$C)</f>
        <v>20</v>
      </c>
      <c r="FK17" s="34">
        <f>SUMIF('Rig 203'!$B:$B,Lists!$A$29,'Rig 203'!$E:$E)</f>
        <v>20</v>
      </c>
      <c r="FL17" s="34">
        <f>SUMIF('Rig 203'!$B:$B,Lists!$A$29,'Rig 203'!$F:$F)</f>
        <v>0</v>
      </c>
      <c r="FM17" s="34">
        <f>SUMIF('Rig 203'!$B:$B,Lists!$A$29,'Rig 203'!$G:$G)</f>
        <v>0</v>
      </c>
      <c r="FN17" s="34">
        <f>SUMIF('Rig 203'!$B:$B,Lists!$A$29,'Rig 203'!$H:$H)</f>
        <v>0</v>
      </c>
      <c r="FO17" s="34">
        <f>SUMIF('Rig 203'!$B:$B,Lists!$A$29,'Rig 203'!$I:$I)</f>
        <v>0</v>
      </c>
      <c r="FP17" s="34">
        <f>SUMIF('Rig 203'!$B:$B,Lists!$A$30,'Rig 203'!$C:$C)</f>
        <v>0</v>
      </c>
      <c r="FQ17" s="34">
        <f>SUMIF('Rig 203'!$B:$B,Lists!$A$30,'Rig 203'!$E:$E)</f>
        <v>1</v>
      </c>
      <c r="FR17" s="34">
        <f>SUMIF('Rig 203'!$B:$B,Lists!$A$30,'Rig 203'!$F:$F)</f>
        <v>0</v>
      </c>
      <c r="FS17" s="34">
        <f>SUMIF('Rig 203'!$B:$B,Lists!$A$30,'Rig 203'!$G:$G)</f>
        <v>0</v>
      </c>
      <c r="FT17" s="34">
        <f>SUMIF('Rig 203'!$B:$B,Lists!$A$30,'Rig 203'!$H:$H)</f>
        <v>0</v>
      </c>
      <c r="FU17" s="34">
        <f>SUMIF('Rig 203'!$B:$B,Lists!$A$30,'Rig 203'!$I:$I)</f>
        <v>0</v>
      </c>
      <c r="FV17" s="34">
        <f>SUMIF('Rig 203'!$B:$B,Lists!$A$31,'Rig 203'!$C:$C)</f>
        <v>0</v>
      </c>
      <c r="FW17" s="34">
        <f>SUMIF('Rig 203'!$B:$B,Lists!$A$31,'Rig 203'!$E:$E)</f>
        <v>2</v>
      </c>
      <c r="FX17" s="34">
        <f>SUMIF('Rig 203'!$B:$B,Lists!$A$31,'Rig 203'!$F:$F)</f>
        <v>0</v>
      </c>
      <c r="FY17" s="34">
        <f>SUMIF('Rig 203'!$B:$B,Lists!$A$31,'Rig 203'!$G:$G)</f>
        <v>0</v>
      </c>
      <c r="FZ17" s="34">
        <f>SUMIF('Rig 203'!$B:$B,Lists!$A$31,'Rig 203'!$H:$H)</f>
        <v>0</v>
      </c>
      <c r="GA17" s="34">
        <f>SUMIF('Rig 203'!$B:$B,Lists!$A$31,'Rig 203'!$I:$I)</f>
        <v>0</v>
      </c>
      <c r="GB17" s="34">
        <f>SUMIF('Rig 203'!$B:$B,Lists!$A$32,'Rig 203'!$C:$C)</f>
        <v>0</v>
      </c>
      <c r="GC17" s="34">
        <f>SUMIF('Rig 203'!$B:$B,Lists!$A$32,'Rig 203'!$E:$E)</f>
        <v>0</v>
      </c>
      <c r="GD17" s="34">
        <f>SUMIF('Rig 203'!$B:$B,Lists!$A$32,'Rig 203'!$F:$F)</f>
        <v>0</v>
      </c>
      <c r="GE17" s="34">
        <f>SUMIF('Rig 203'!$B:$B,Lists!$A$32,'Rig 203'!$G:$G)</f>
        <v>0</v>
      </c>
      <c r="GF17" s="34">
        <f>SUMIF('Rig 203'!$B:$B,Lists!$A$32,'Rig 203'!$H:$H)</f>
        <v>0</v>
      </c>
      <c r="GG17" s="34">
        <f>SUMIF('Rig 203'!$B:$B,Lists!$A$32,'Rig 203'!$I:$I)</f>
        <v>0</v>
      </c>
      <c r="GH17" s="34">
        <f>SUMIF('Rig 203'!$B:$B,Lists!$A$33,'Rig 203'!$C:$C)</f>
        <v>0</v>
      </c>
      <c r="GI17" s="34">
        <f>SUMIF('Rig 203'!$B:$B,Lists!$A$33,'Rig 203'!$E:$E)</f>
        <v>0</v>
      </c>
      <c r="GJ17" s="34">
        <f>SUMIF('Rig 203'!$B:$B,Lists!$A$33,'Rig 203'!$F:$F)</f>
        <v>0</v>
      </c>
      <c r="GK17" s="34">
        <f>SUMIF('Rig 203'!$B:$B,Lists!$A$33,'Rig 203'!$G:$G)</f>
        <v>0</v>
      </c>
      <c r="GL17" s="34">
        <f>SUMIF('Rig 203'!$B:$B,Lists!$A$33,'Rig 203'!$H:$H)</f>
        <v>0</v>
      </c>
      <c r="GM17" s="34">
        <f>SUMIF('Rig 203'!$B:$B,Lists!$A$33,'Rig 203'!$I:$I)</f>
        <v>0</v>
      </c>
      <c r="GN17" s="34">
        <f>SUMIF('Rig 203'!$B:$B,Lists!$A$34,'Rig 203'!$C:$C)</f>
        <v>0</v>
      </c>
      <c r="GO17" s="34">
        <f>SUMIF('Rig 203'!$B:$B,Lists!$A$34,'Rig 203'!$E:$E)</f>
        <v>0</v>
      </c>
      <c r="GP17" s="34">
        <f>SUMIF('Rig 203'!$B:$B,Lists!$A$34,'Rig 203'!$F:$F)</f>
        <v>0</v>
      </c>
      <c r="GQ17" s="34">
        <f>SUMIF('Rig 203'!$B:$B,Lists!$A$34,'Rig 203'!$G:$G)</f>
        <v>0</v>
      </c>
      <c r="GR17" s="34">
        <f>SUMIF('Rig 203'!$B:$B,Lists!$A$34,'Rig 203'!$H:$H)</f>
        <v>0</v>
      </c>
      <c r="GS17" s="34">
        <f>SUMIF('Rig 203'!$B:$B,Lists!$A$34,'Rig 203'!$I:$I)</f>
        <v>0</v>
      </c>
      <c r="GT17" s="34">
        <f>SUMIF('Rig 203'!$B:$B,Lists!$A$35,'Rig 203'!$C:$C)</f>
        <v>0</v>
      </c>
      <c r="GU17" s="34">
        <f>SUMIF('Rig 203'!$B:$B,Lists!$A$35,'Rig 203'!$E:$E)</f>
        <v>0</v>
      </c>
      <c r="GV17" s="34">
        <f>SUMIF('Rig 203'!$B:$B,Lists!$A$35,'Rig 203'!$F:$F)</f>
        <v>0</v>
      </c>
      <c r="GW17" s="34">
        <f>SUMIF('Rig 203'!$B:$B,Lists!$A$35,'Rig 203'!$G:$G)</f>
        <v>0</v>
      </c>
      <c r="GX17" s="34">
        <f>SUMIF('Rig 203'!$B:$B,Lists!$A$35,'Rig 203'!$H:$H)</f>
        <v>0</v>
      </c>
      <c r="GY17" s="34">
        <f>SUMIF('Rig 203'!$B:$B,Lists!$A$35,'Rig 203'!$I:$I)</f>
        <v>0</v>
      </c>
      <c r="GZ17" s="34">
        <f>SUMIF('Rig 203'!$B:$B,Lists!$A$36,'Rig 203'!$C:$C)</f>
        <v>0</v>
      </c>
      <c r="HA17" s="34">
        <f>SUMIF('Rig 203'!$B:$B,Lists!$A$36,'Rig 203'!$E:$E)</f>
        <v>0</v>
      </c>
      <c r="HB17" s="34">
        <f>SUMIF('Rig 203'!$B:$B,Lists!$A$36,'Rig 203'!$F:$F)</f>
        <v>0</v>
      </c>
      <c r="HC17" s="34">
        <f>SUMIF('Rig 203'!$B:$B,Lists!$A$36,'Rig 203'!$G:$G)</f>
        <v>0</v>
      </c>
      <c r="HD17" s="34">
        <f>SUMIF('Rig 203'!$B:$B,Lists!$A$36,'Rig 203'!$H:$H)</f>
        <v>0</v>
      </c>
      <c r="HE17" s="34">
        <f>SUMIF('Rig 203'!$B:$B,Lists!$A$36,'Rig 203'!$I:$I)</f>
        <v>0</v>
      </c>
      <c r="HF17" s="34">
        <f>SUMIF('Rig 203'!$B:$B,Lists!$A$37,'Rig 203'!$C:$C)</f>
        <v>0</v>
      </c>
      <c r="HG17" s="34">
        <f>SUMIF('Rig 203'!$B:$B,Lists!$A$37,'Rig 203'!$E:$E)</f>
        <v>0</v>
      </c>
      <c r="HH17" s="34">
        <f>SUMIF('Rig 203'!$B:$B,Lists!$A$37,'Rig 203'!$F:$F)</f>
        <v>0</v>
      </c>
      <c r="HI17" s="34">
        <f>SUMIF('Rig 203'!$B:$B,Lists!$A$37,'Rig 203'!$G:$G)</f>
        <v>0</v>
      </c>
      <c r="HJ17" s="34">
        <f>SUMIF('Rig 203'!$B:$B,Lists!$A$37,'Rig 203'!$H:$H)</f>
        <v>0</v>
      </c>
      <c r="HK17" s="34">
        <f>SUMIF('Rig 203'!$B:$B,Lists!$A$37,'Rig 203'!$I:$I)</f>
        <v>0</v>
      </c>
      <c r="HL17" s="34">
        <f>SUMIF('Rig 203'!$B:$B,Lists!$A$38,'Rig 203'!$C:$C)</f>
        <v>0</v>
      </c>
      <c r="HM17" s="34">
        <f>SUMIF('Rig 203'!$B:$B,Lists!$A$38,'Rig 203'!$E:$E)</f>
        <v>0</v>
      </c>
      <c r="HN17" s="34">
        <f>SUMIF('Rig 203'!$B:$B,Lists!$A$38,'Rig 203'!$F:$F)</f>
        <v>0</v>
      </c>
      <c r="HO17" s="34">
        <f>SUMIF('Rig 203'!$B:$B,Lists!$A$38,'Rig 203'!$G:$G)</f>
        <v>0</v>
      </c>
      <c r="HP17" s="34">
        <f>SUMIF('Rig 203'!$B:$B,Lists!$A$38,'Rig 203'!$H:$H)</f>
        <v>0</v>
      </c>
      <c r="HQ17" s="34">
        <f>SUMIF('Rig 203'!$B:$B,Lists!$A$38,'Rig 203'!$I:$I)</f>
        <v>0</v>
      </c>
      <c r="HR17" s="34">
        <f>SUMIF('Rig 203'!$B:$B,Lists!$A$39,'Rig 203'!$C:$C)</f>
        <v>0</v>
      </c>
      <c r="HS17" s="34">
        <f>SUMIF('Rig 203'!$B:$B,Lists!$A$39,'Rig 203'!$E:$E)</f>
        <v>2</v>
      </c>
      <c r="HT17" s="34">
        <f>SUMIF('Rig 203'!$B:$B,Lists!$A$39,'Rig 203'!$F:$F)</f>
        <v>0</v>
      </c>
      <c r="HU17" s="34">
        <f>SUMIF('Rig 203'!$B:$B,Lists!$A$39,'Rig 203'!$G:$G)</f>
        <v>0</v>
      </c>
      <c r="HV17" s="34">
        <f>SUMIF('Rig 203'!$B:$B,Lists!$A$39,'Rig 203'!$H:$H)</f>
        <v>0</v>
      </c>
      <c r="HW17" s="34">
        <f>SUMIF('Rig 203'!$B:$B,Lists!$A$39,'Rig 203'!$I:$I)</f>
        <v>0</v>
      </c>
      <c r="HX17" s="34">
        <f>SUMIF('Rig 203'!$B:$B,Lists!$A$40,'Rig 203'!$C:$C)</f>
        <v>0</v>
      </c>
      <c r="HY17" s="34">
        <f>SUMIF('Rig 203'!$B:$B,Lists!$A$40,'Rig 203'!$E:$E)</f>
        <v>0</v>
      </c>
      <c r="HZ17" s="34">
        <f>SUMIF('Rig 203'!$B:$B,Lists!$A$40,'Rig 203'!$F:$F)</f>
        <v>0</v>
      </c>
      <c r="IA17" s="34">
        <f>SUMIF('Rig 203'!$B:$B,Lists!$A$40,'Rig 203'!$G:$G)</f>
        <v>0</v>
      </c>
      <c r="IB17" s="34">
        <f>SUMIF('Rig 203'!$B:$B,Lists!$A$40,'Rig 203'!$H:$H)</f>
        <v>0</v>
      </c>
      <c r="IC17" s="34">
        <f>SUMIF('Rig 203'!$B:$B,Lists!$A$40,'Rig 203'!$I:$I)</f>
        <v>0</v>
      </c>
      <c r="ID17" s="34">
        <f>SUMIF('Rig 203'!$B:$B,Lists!$A$41,'Rig 203'!$C:$C)</f>
        <v>0</v>
      </c>
      <c r="IE17" s="34">
        <f>SUMIF('Rig 203'!$B:$B,Lists!$A$41,'Rig 203'!$E:$E)</f>
        <v>0</v>
      </c>
      <c r="IF17" s="34">
        <f>SUMIF('Rig 203'!$B:$B,Lists!$A$41,'Rig 203'!$F:$F)</f>
        <v>0</v>
      </c>
      <c r="IG17" s="34">
        <f>SUMIF('Rig 203'!$B:$B,Lists!$A$41,'Rig 203'!$G:$G)</f>
        <v>0</v>
      </c>
      <c r="IH17" s="34">
        <f>SUMIF('Rig 203'!$B:$B,Lists!$A$41,'Rig 203'!$H:$H)</f>
        <v>0</v>
      </c>
      <c r="II17" s="34">
        <f>SUMIF('Rig 203'!$B:$B,Lists!$A$41,'Rig 203'!$I:$I)</f>
        <v>0</v>
      </c>
    </row>
    <row r="18" spans="1:243" ht="19.5" customHeight="1" x14ac:dyDescent="0.3">
      <c r="A18" s="35" t="s">
        <v>89</v>
      </c>
      <c r="B18" s="36">
        <f>'Rig 204'!D2</f>
        <v>46143</v>
      </c>
      <c r="C18" s="37" t="s">
        <v>77</v>
      </c>
      <c r="D18" s="38">
        <f>SUMIF('Rig 204'!$B:$B,Lists!$A$2,'Rig 204'!$C:$C)</f>
        <v>0</v>
      </c>
      <c r="E18" s="38">
        <f>SUMIF('Rig 204'!$B:$B,Lists!$A$2,'Rig 204'!$E:$E)</f>
        <v>0</v>
      </c>
      <c r="F18" s="38">
        <f>SUMIF('Rig 204'!$B:$B,Lists!$A$2,'Rig 204'!$F:$F)</f>
        <v>0</v>
      </c>
      <c r="G18" s="38">
        <f>SUMIF('Rig 204'!$B:$B,Lists!$A$2,'Rig 204'!$G:$G)</f>
        <v>0</v>
      </c>
      <c r="H18" s="38">
        <f>SUMIF('Rig 204'!$B:$B,Lists!$A$2,'Rig 204'!$H:$H)</f>
        <v>0</v>
      </c>
      <c r="I18" s="38">
        <f>SUMIF('Rig 204'!$B:$B,Lists!$A$2,'Rig 204'!$I:$I)</f>
        <v>0</v>
      </c>
      <c r="J18" s="38">
        <f>SUMIF('Rig 204'!$B:$B,Lists!$A$3,'Rig 204'!$C:$C)</f>
        <v>0</v>
      </c>
      <c r="K18" s="38">
        <f>SUMIF('Rig 204'!$B:$B,Lists!$A$3,'Rig 204'!$E:$E)</f>
        <v>0</v>
      </c>
      <c r="L18" s="38">
        <f>SUMIF('Rig 204'!$B:$B,Lists!$A$3,'Rig 204'!$F:$F)</f>
        <v>0</v>
      </c>
      <c r="M18" s="38">
        <f>SUMIF('Rig 204'!$B:$B,Lists!$A$3,'Rig 204'!$G:$G)</f>
        <v>0</v>
      </c>
      <c r="N18" s="38">
        <f>SUMIF('Rig 204'!$B:$B,Lists!$A$3,'Rig 204'!$H:$H)</f>
        <v>0</v>
      </c>
      <c r="O18" s="38">
        <f>SUMIF('Rig 204'!$B:$B,Lists!$A$3,'Rig 204'!$I:$I)</f>
        <v>0</v>
      </c>
      <c r="P18" s="38">
        <f>SUMIF('Rig 204'!$B:$B,Lists!$A$4,'Rig 204'!$C:$C)</f>
        <v>0</v>
      </c>
      <c r="Q18" s="38">
        <f>SUMIF('Rig 204'!$B:$B,Lists!$A$4,'Rig 204'!$E:$E)</f>
        <v>0</v>
      </c>
      <c r="R18" s="38">
        <f>SUMIF('Rig 204'!$B:$B,Lists!$A$4,'Rig 204'!$F:$F)</f>
        <v>0</v>
      </c>
      <c r="S18" s="38">
        <f>SUMIF('Rig 204'!$B:$B,Lists!$A$4,'Rig 204'!$G:$G)</f>
        <v>0</v>
      </c>
      <c r="T18" s="38">
        <f>SUMIF('Rig 204'!$B:$B,Lists!$A$4,'Rig 204'!$H:$H)</f>
        <v>0</v>
      </c>
      <c r="U18" s="38">
        <f>SUMIF('Rig 204'!$B:$B,Lists!$A$4,'Rig 204'!$I:$I)</f>
        <v>0</v>
      </c>
      <c r="V18" s="38">
        <f>SUMIF('Rig 204'!$B:$B,Lists!$A$5,'Rig 204'!$C:$C)</f>
        <v>0</v>
      </c>
      <c r="W18" s="38">
        <f>SUMIF('Rig 204'!$B:$B,Lists!$A$5,'Rig 204'!$E:$E)</f>
        <v>0</v>
      </c>
      <c r="X18" s="38">
        <f>SUMIF('Rig 204'!$B:$B,Lists!$A$5,'Rig 204'!$F:$F)</f>
        <v>0</v>
      </c>
      <c r="Y18" s="38">
        <f>SUMIF('Rig 204'!$B:$B,Lists!$A$5,'Rig 204'!$G:$G)</f>
        <v>0</v>
      </c>
      <c r="Z18" s="38">
        <f>SUMIF('Rig 204'!$B:$B,Lists!$A$5,'Rig 204'!$H:$H)</f>
        <v>0</v>
      </c>
      <c r="AA18" s="38">
        <f>SUMIF('Rig 204'!$B:$B,Lists!$A$5,'Rig 204'!$I:$I)</f>
        <v>0</v>
      </c>
      <c r="AB18" s="38">
        <f>SUMIF('Rig 204'!$B:$B,Lists!$A$6,'Rig 204'!$C:$C)</f>
        <v>312</v>
      </c>
      <c r="AC18" s="38">
        <f>SUMIF('Rig 204'!$B:$B,Lists!$A$6,'Rig 204'!$E:$E)</f>
        <v>355</v>
      </c>
      <c r="AD18" s="38">
        <f>SUMIF('Rig 204'!$B:$B,Lists!$A$6,'Rig 204'!$F:$F)</f>
        <v>0</v>
      </c>
      <c r="AE18" s="38">
        <f>SUMIF('Rig 204'!$B:$B,Lists!$A$6,'Rig 204'!$G:$G)</f>
        <v>0</v>
      </c>
      <c r="AF18" s="38">
        <f>SUMIF('Rig 204'!$B:$B,Lists!$A$6,'Rig 204'!$H:$H)</f>
        <v>4</v>
      </c>
      <c r="AG18" s="38">
        <f>SUMIF('Rig 204'!$B:$B,Lists!$A$6,'Rig 204'!$I:$I)</f>
        <v>0</v>
      </c>
      <c r="AH18" s="38">
        <f>SUMIF('Rig 204'!$B:$B,Lists!$A$7,'Rig 204'!$C:$C)</f>
        <v>0</v>
      </c>
      <c r="AI18" s="38">
        <f>SUMIF('Rig 204'!$B:$B,Lists!$A$7,'Rig 204'!$E:$E)</f>
        <v>0</v>
      </c>
      <c r="AJ18" s="38">
        <f>SUMIF('Rig 204'!$B:$B,Lists!$A$7,'Rig 204'!$F:$F)</f>
        <v>0</v>
      </c>
      <c r="AK18" s="38">
        <f>SUMIF('Rig 204'!$B:$B,Lists!$A$7,'Rig 204'!$G:$G)</f>
        <v>0</v>
      </c>
      <c r="AL18" s="38">
        <f>SUMIF('Rig 204'!$B:$B,Lists!$A$7,'Rig 204'!$H:$H)</f>
        <v>0</v>
      </c>
      <c r="AM18" s="38">
        <f>SUMIF('Rig 204'!$B:$B,Lists!$A$7,'Rig 204'!$I:$I)</f>
        <v>0</v>
      </c>
      <c r="AN18" s="38">
        <f>SUMIF('Rig 204'!$B:$B,Lists!$A$8,'Rig 204'!$C:$C)</f>
        <v>0</v>
      </c>
      <c r="AO18" s="38">
        <f>SUMIF('Rig 204'!$B:$B,Lists!$A$8,'Rig 204'!$E:$E)</f>
        <v>0</v>
      </c>
      <c r="AP18" s="38">
        <f>SUMIF('Rig 204'!$B:$B,Lists!$A$8,'Rig 204'!$F:$F)</f>
        <v>0</v>
      </c>
      <c r="AQ18" s="38">
        <f>SUMIF('Rig 204'!$B:$B,Lists!$A$8,'Rig 204'!$G:$G)</f>
        <v>0</v>
      </c>
      <c r="AR18" s="38">
        <f>SUMIF('Rig 204'!$B:$B,Lists!$A$8,'Rig 204'!$H:$H)</f>
        <v>0</v>
      </c>
      <c r="AS18" s="38">
        <f>SUMIF('Rig 204'!$B:$B,Lists!$A$8,'Rig 204'!$I:$I)</f>
        <v>0</v>
      </c>
      <c r="AT18" s="38">
        <f>SUMIF('Rig 204'!$B:$B,Lists!$A$9,'Rig 204'!$C:$C)</f>
        <v>0</v>
      </c>
      <c r="AU18" s="38">
        <f>SUMIF('Rig 204'!$B:$B,Lists!$A$9,'Rig 204'!$E:$E)</f>
        <v>0</v>
      </c>
      <c r="AV18" s="38">
        <f>SUMIF('Rig 204'!$B:$B,Lists!$A$9,'Rig 204'!$F:$F)</f>
        <v>0</v>
      </c>
      <c r="AW18" s="38">
        <f>SUMIF('Rig 204'!$B:$B,Lists!$A$9,'Rig 204'!$G:$G)</f>
        <v>0</v>
      </c>
      <c r="AX18" s="38">
        <f>SUMIF('Rig 204'!$B:$B,Lists!$A$9,'Rig 204'!$H:$H)</f>
        <v>0</v>
      </c>
      <c r="AY18" s="38">
        <f>SUMIF('Rig 204'!$B:$B,Lists!$A$9,'Rig 204'!$I:$I)</f>
        <v>0</v>
      </c>
      <c r="AZ18" s="38">
        <f>SUMIF('Rig 204'!$B:$B,Lists!$A$10,'Rig 204'!$C:$C)</f>
        <v>0</v>
      </c>
      <c r="BA18" s="38">
        <f>SUMIF('Rig 204'!$B:$B,Lists!$A$10,'Rig 204'!$E:$E)</f>
        <v>0</v>
      </c>
      <c r="BB18" s="38">
        <f>SUMIF('Rig 204'!$B:$B,Lists!$A$10,'Rig 204'!$F:$F)</f>
        <v>0</v>
      </c>
      <c r="BC18" s="38">
        <f>SUMIF('Rig 204'!$B:$B,Lists!$A$10,'Rig 204'!$G:$G)</f>
        <v>0</v>
      </c>
      <c r="BD18" s="38">
        <f>SUMIF('Rig 204'!$B:$B,Lists!$A$10,'Rig 204'!$H:$H)</f>
        <v>0</v>
      </c>
      <c r="BE18" s="38">
        <f>SUMIF('Rig 204'!$B:$B,Lists!$A$10,'Rig 204'!$I:$I)</f>
        <v>0</v>
      </c>
      <c r="BF18" s="38">
        <f>SUMIF('Rig 204'!$B:$B,Lists!$A$11,'Rig 204'!$C:$C)</f>
        <v>260</v>
      </c>
      <c r="BG18" s="38">
        <f>SUMIF('Rig 204'!$B:$B,Lists!$A$11,'Rig 204'!$E:$E)</f>
        <v>349</v>
      </c>
      <c r="BH18" s="38">
        <f>SUMIF('Rig 204'!$B:$B,Lists!$A$11,'Rig 204'!$F:$F)</f>
        <v>0</v>
      </c>
      <c r="BI18" s="38">
        <f>SUMIF('Rig 204'!$B:$B,Lists!$A$11,'Rig 204'!$G:$G)</f>
        <v>0</v>
      </c>
      <c r="BJ18" s="38">
        <f>SUMIF('Rig 204'!$B:$B,Lists!$A$11,'Rig 204'!$H:$H)</f>
        <v>10</v>
      </c>
      <c r="BK18" s="38">
        <f>SUMIF('Rig 204'!$B:$B,Lists!$A$11,'Rig 204'!$I:$I)</f>
        <v>0</v>
      </c>
      <c r="BL18" s="38">
        <f>SUMIF('Rig 204'!$B:$B,Lists!$A$12,'Rig 204'!$C:$C)</f>
        <v>0</v>
      </c>
      <c r="BM18" s="38">
        <f>SUMIF('Rig 204'!$B:$B,Lists!$A$12,'Rig 204'!$E:$E)</f>
        <v>197</v>
      </c>
      <c r="BN18" s="38">
        <f>SUMIF('Rig 204'!$B:$B,Lists!$A$12,'Rig 204'!$F:$F)</f>
        <v>0</v>
      </c>
      <c r="BO18" s="38">
        <f>SUMIF('Rig 204'!$B:$B,Lists!$A$12,'Rig 204'!$G:$G)</f>
        <v>0</v>
      </c>
      <c r="BP18" s="38">
        <f>SUMIF('Rig 204'!$B:$B,Lists!$A$12,'Rig 204'!$H:$H)</f>
        <v>6</v>
      </c>
      <c r="BQ18" s="38">
        <f>SUMIF('Rig 204'!$B:$B,Lists!$A$12,'Rig 204'!$I:$I)</f>
        <v>0</v>
      </c>
      <c r="BR18" s="38">
        <f>SUMIF('Rig 204'!$B:$B,Lists!$A$13,'Rig 204'!$C:$C)</f>
        <v>0</v>
      </c>
      <c r="BS18" s="38">
        <f>SUMIF('Rig 204'!$B:$B,Lists!$A$13,'Rig 204'!$E:$E)</f>
        <v>0</v>
      </c>
      <c r="BT18" s="38">
        <f>SUMIF('Rig 204'!$B:$B,Lists!$A$13,'Rig 204'!$F:$F)</f>
        <v>0</v>
      </c>
      <c r="BU18" s="38">
        <f>SUMIF('Rig 204'!$B:$B,Lists!$A$13,'Rig 204'!$G:$G)</f>
        <v>0</v>
      </c>
      <c r="BV18" s="38">
        <f>SUMIF('Rig 204'!$B:$B,Lists!$A$13,'Rig 204'!$H:$H)</f>
        <v>0</v>
      </c>
      <c r="BW18" s="38">
        <f>SUMIF('Rig 204'!$B:$B,Lists!$A$13,'Rig 204'!$I:$I)</f>
        <v>0</v>
      </c>
      <c r="BX18" s="38">
        <f>SUMIF('Rig 204'!$B:$B,Lists!$A$14,'Rig 204'!$C:$C)</f>
        <v>0</v>
      </c>
      <c r="BY18" s="38">
        <f>SUMIF('Rig 204'!$B:$B,Lists!$A$14,'Rig 204'!$E:$E)</f>
        <v>0</v>
      </c>
      <c r="BZ18" s="38">
        <f>SUMIF('Rig 204'!$B:$B,Lists!$A$14,'Rig 204'!$F:$F)</f>
        <v>0</v>
      </c>
      <c r="CA18" s="38">
        <f>SUMIF('Rig 204'!$B:$B,Lists!$A$14,'Rig 204'!$G:$G)</f>
        <v>0</v>
      </c>
      <c r="CB18" s="38">
        <f>SUMIF('Rig 204'!$B:$B,Lists!$A$14,'Rig 204'!$H:$H)</f>
        <v>0</v>
      </c>
      <c r="CC18" s="38">
        <f>SUMIF('Rig 204'!$B:$B,Lists!$A$14,'Rig 204'!$I:$I)</f>
        <v>0</v>
      </c>
      <c r="CD18" s="38">
        <f>SUMIF('Rig 204'!$B:$B,Lists!$A$15,'Rig 204'!$C:$C)</f>
        <v>0</v>
      </c>
      <c r="CE18" s="38">
        <f>SUMIF('Rig 204'!$B:$B,Lists!$A$15,'Rig 204'!$E:$E)</f>
        <v>0</v>
      </c>
      <c r="CF18" s="38">
        <f>SUMIF('Rig 204'!$B:$B,Lists!$A$15,'Rig 204'!$F:$F)</f>
        <v>0</v>
      </c>
      <c r="CG18" s="38">
        <f>SUMIF('Rig 204'!$B:$B,Lists!$A$15,'Rig 204'!$G:$G)</f>
        <v>0</v>
      </c>
      <c r="CH18" s="38">
        <f>SUMIF('Rig 204'!$B:$B,Lists!$A$15,'Rig 204'!$H:$H)</f>
        <v>0</v>
      </c>
      <c r="CI18" s="38">
        <f>SUMIF('Rig 204'!$B:$B,Lists!$A$15,'Rig 204'!$I:$I)</f>
        <v>0</v>
      </c>
      <c r="CJ18" s="38">
        <f>SUMIF('Rig 204'!$B:$B,Lists!$A$16,'Rig 204'!$C:$C)</f>
        <v>0</v>
      </c>
      <c r="CK18" s="38">
        <f>SUMIF('Rig 204'!$B:$B,Lists!$A$16,'Rig 204'!$E:$E)</f>
        <v>0</v>
      </c>
      <c r="CL18" s="38">
        <f>SUMIF('Rig 204'!$B:$B,Lists!$A$16,'Rig 204'!$F:$F)</f>
        <v>0</v>
      </c>
      <c r="CM18" s="38">
        <f>SUMIF('Rig 204'!$B:$B,Lists!$A$16,'Rig 204'!$G:$G)</f>
        <v>0</v>
      </c>
      <c r="CN18" s="38">
        <f>SUMIF('Rig 204'!$B:$B,Lists!$A$16,'Rig 204'!$H:$H)</f>
        <v>0</v>
      </c>
      <c r="CO18" s="38">
        <f>SUMIF('Rig 204'!$B:$B,Lists!$A$16,'Rig 204'!$I:$I)</f>
        <v>0</v>
      </c>
      <c r="CP18" s="38">
        <f>SUMIF('Rig 204'!$B:$B,Lists!$A$17,'Rig 204'!$C:$C)</f>
        <v>0</v>
      </c>
      <c r="CQ18" s="38">
        <f>SUMIF('Rig 204'!$B:$B,Lists!$A$17,'Rig 204'!$E:$E)</f>
        <v>0</v>
      </c>
      <c r="CR18" s="38">
        <f>SUMIF('Rig 204'!$B:$B,Lists!$A$17,'Rig 204'!$F:$F)</f>
        <v>0</v>
      </c>
      <c r="CS18" s="38">
        <f>SUMIF('Rig 204'!$B:$B,Lists!$A$17,'Rig 204'!$G:$G)</f>
        <v>0</v>
      </c>
      <c r="CT18" s="38">
        <f>SUMIF('Rig 204'!$B:$B,Lists!$A$17,'Rig 204'!$H:$H)</f>
        <v>0</v>
      </c>
      <c r="CU18" s="38">
        <f>SUMIF('Rig 204'!$B:$B,Lists!$A$17,'Rig 204'!$I:$I)</f>
        <v>0</v>
      </c>
      <c r="CV18" s="38">
        <f>SUMIF('Rig 204'!$B:$B,Lists!$A$18,'Rig 204'!$C:$C)</f>
        <v>42</v>
      </c>
      <c r="CW18" s="38">
        <f>SUMIF('Rig 204'!$B:$B,Lists!$A$18,'Rig 204'!$E:$E)</f>
        <v>1</v>
      </c>
      <c r="CX18" s="38">
        <f>SUMIF('Rig 204'!$B:$B,Lists!$A$18,'Rig 204'!$F:$F)</f>
        <v>0</v>
      </c>
      <c r="CY18" s="38">
        <f>SUMIF('Rig 204'!$B:$B,Lists!$A$18,'Rig 204'!$G:$G)</f>
        <v>0</v>
      </c>
      <c r="CZ18" s="38">
        <f>SUMIF('Rig 204'!$B:$B,Lists!$A$18,'Rig 204'!$H:$H)</f>
        <v>0</v>
      </c>
      <c r="DA18" s="38">
        <f>SUMIF('Rig 204'!$B:$B,Lists!$A$18,'Rig 204'!$I:$I)</f>
        <v>0</v>
      </c>
      <c r="DB18" s="38">
        <f>SUMIF('Rig 204'!$B:$B,Lists!$A$19,'Rig 204'!$C:$C)</f>
        <v>42</v>
      </c>
      <c r="DC18" s="38">
        <f>SUMIF('Rig 204'!$B:$B,Lists!$A$19,'Rig 204'!$E:$E)</f>
        <v>96</v>
      </c>
      <c r="DD18" s="38">
        <f>SUMIF('Rig 204'!$B:$B,Lists!$A$19,'Rig 204'!$F:$F)</f>
        <v>0</v>
      </c>
      <c r="DE18" s="38">
        <f>SUMIF('Rig 204'!$B:$B,Lists!$A$19,'Rig 204'!$G:$G)</f>
        <v>0</v>
      </c>
      <c r="DF18" s="38">
        <f>SUMIF('Rig 204'!$B:$B,Lists!$A$19,'Rig 204'!$H:$H)</f>
        <v>3</v>
      </c>
      <c r="DG18" s="38">
        <f>SUMIF('Rig 204'!$B:$B,Lists!$A$19,'Rig 204'!$I:$I)</f>
        <v>0</v>
      </c>
      <c r="DH18" s="38">
        <f>SUMIF('Rig 204'!$B:$B,Lists!$A$20,'Rig 204'!$C:$C)</f>
        <v>0</v>
      </c>
      <c r="DI18" s="38">
        <f>SUMIF('Rig 204'!$B:$B,Lists!$A$20,'Rig 204'!$E:$E)</f>
        <v>0</v>
      </c>
      <c r="DJ18" s="38">
        <f>SUMIF('Rig 204'!$B:$B,Lists!$A$20,'Rig 204'!$F:$F)</f>
        <v>0</v>
      </c>
      <c r="DK18" s="38">
        <f>SUMIF('Rig 204'!$B:$B,Lists!$A$20,'Rig 204'!$G:$G)</f>
        <v>0</v>
      </c>
      <c r="DL18" s="38">
        <f>SUMIF('Rig 204'!$B:$B,Lists!$A$20,'Rig 204'!$H:$H)</f>
        <v>0</v>
      </c>
      <c r="DM18" s="38">
        <f>SUMIF('Rig 204'!$B:$B,Lists!$A$20,'Rig 204'!$I:$I)</f>
        <v>0</v>
      </c>
      <c r="DN18" s="38">
        <f>SUMIF('Rig 204'!$B:$B,Lists!$A$21,'Rig 204'!$C:$C)</f>
        <v>0</v>
      </c>
      <c r="DO18" s="38">
        <f>SUMIF('Rig 204'!$B:$B,Lists!$A$21,'Rig 204'!$E:$E)</f>
        <v>0</v>
      </c>
      <c r="DP18" s="38">
        <f>SUMIF('Rig 204'!$B:$B,Lists!$A$21,'Rig 204'!$F:$F)</f>
        <v>0</v>
      </c>
      <c r="DQ18" s="38">
        <f>SUMIF('Rig 204'!$B:$B,Lists!$A$21,'Rig 204'!$G:$G)</f>
        <v>0</v>
      </c>
      <c r="DR18" s="38">
        <f>SUMIF('Rig 204'!$B:$B,Lists!$A$21,'Rig 204'!$H:$H)</f>
        <v>0</v>
      </c>
      <c r="DS18" s="38">
        <f>SUMIF('Rig 204'!$B:$B,Lists!$A$21,'Rig 204'!$I:$I)</f>
        <v>0</v>
      </c>
      <c r="DT18" s="38">
        <f>SUMIF('Rig 204'!$B:$B,Lists!$A$22,'Rig 204'!$C:$C)</f>
        <v>3</v>
      </c>
      <c r="DU18" s="38">
        <f>SUMIF('Rig 204'!$B:$B,Lists!$A$22,'Rig 204'!$E:$E)</f>
        <v>6</v>
      </c>
      <c r="DV18" s="38">
        <f>SUMIF('Rig 204'!$B:$B,Lists!$A$22,'Rig 204'!$F:$F)</f>
        <v>0</v>
      </c>
      <c r="DW18" s="38">
        <f>SUMIF('Rig 204'!$B:$B,Lists!$A$22,'Rig 204'!$G:$G)</f>
        <v>0</v>
      </c>
      <c r="DX18" s="38">
        <f>SUMIF('Rig 204'!$B:$B,Lists!$A$22,'Rig 204'!$H:$H)</f>
        <v>0</v>
      </c>
      <c r="DY18" s="38">
        <f>SUMIF('Rig 204'!$B:$B,Lists!$A$22,'Rig 204'!$I:$I)</f>
        <v>0</v>
      </c>
      <c r="DZ18" s="38">
        <f>SUMIF('Rig 204'!$B:$B,Lists!$A$23,'Rig 204'!$C:$C)</f>
        <v>0</v>
      </c>
      <c r="EA18" s="38">
        <f>SUMIF('Rig 204'!$B:$B,Lists!$A$23,'Rig 204'!$E:$E)</f>
        <v>0</v>
      </c>
      <c r="EB18" s="38">
        <f>SUMIF('Rig 204'!$B:$B,Lists!$A$23,'Rig 204'!$F:$F)</f>
        <v>0</v>
      </c>
      <c r="EC18" s="38">
        <f>SUMIF('Rig 204'!$B:$B,Lists!$A$23,'Rig 204'!$G:$G)</f>
        <v>0</v>
      </c>
      <c r="ED18" s="38">
        <f>SUMIF('Rig 204'!$B:$B,Lists!$A$23,'Rig 204'!$H:$H)</f>
        <v>0</v>
      </c>
      <c r="EE18" s="38">
        <f>SUMIF('Rig 204'!$B:$B,Lists!$A$23,'Rig 204'!$I:$I)</f>
        <v>0</v>
      </c>
      <c r="EF18" s="38">
        <f>SUMIF('Rig 204'!$B:$B,Lists!$A$24,'Rig 204'!$C:$C)</f>
        <v>30</v>
      </c>
      <c r="EG18" s="38">
        <f>SUMIF('Rig 204'!$B:$B,Lists!$A$24,'Rig 204'!$E:$E)</f>
        <v>26</v>
      </c>
      <c r="EH18" s="38">
        <f>SUMIF('Rig 204'!$B:$B,Lists!$A$24,'Rig 204'!$F:$F)</f>
        <v>0</v>
      </c>
      <c r="EI18" s="38">
        <f>SUMIF('Rig 204'!$B:$B,Lists!$A$24,'Rig 204'!$G:$G)</f>
        <v>0</v>
      </c>
      <c r="EJ18" s="38">
        <f>SUMIF('Rig 204'!$B:$B,Lists!$A$24,'Rig 204'!$H:$H)</f>
        <v>0</v>
      </c>
      <c r="EK18" s="38">
        <f>SUMIF('Rig 204'!$B:$B,Lists!$A$24,'Rig 204'!$I:$I)</f>
        <v>0</v>
      </c>
      <c r="EL18" s="38">
        <f>SUMIF('Rig 204'!$B:$B,Lists!$A$25,'Rig 204'!$C:$C)</f>
        <v>30</v>
      </c>
      <c r="EM18" s="38">
        <f>SUMIF('Rig 204'!$B:$B,Lists!$A$25,'Rig 204'!$E:$E)</f>
        <v>29</v>
      </c>
      <c r="EN18" s="38">
        <f>SUMIF('Rig 204'!$B:$B,Lists!$A$25,'Rig 204'!$F:$F)</f>
        <v>0</v>
      </c>
      <c r="EO18" s="38">
        <f>SUMIF('Rig 204'!$B:$B,Lists!$A$25,'Rig 204'!$G:$G)</f>
        <v>0</v>
      </c>
      <c r="EP18" s="38">
        <f>SUMIF('Rig 204'!$B:$B,Lists!$A$25,'Rig 204'!$H:$H)</f>
        <v>1</v>
      </c>
      <c r="EQ18" s="38">
        <f>SUMIF('Rig 204'!$B:$B,Lists!$A$25,'Rig 204'!$I:$I)</f>
        <v>0</v>
      </c>
      <c r="ER18" s="38">
        <f>SUMIF('Rig 204'!$B:$B,Lists!$A$26,'Rig 204'!$C:$C)</f>
        <v>0</v>
      </c>
      <c r="ES18" s="38">
        <f>SUMIF('Rig 204'!$B:$B,Lists!$A$26,'Rig 204'!$E:$E)</f>
        <v>0</v>
      </c>
      <c r="ET18" s="38">
        <f>SUMIF('Rig 204'!$B:$B,Lists!$A$26,'Rig 204'!$F:$F)</f>
        <v>0</v>
      </c>
      <c r="EU18" s="38">
        <f>SUMIF('Rig 204'!$B:$B,Lists!$A$26,'Rig 204'!$G:$G)</f>
        <v>0</v>
      </c>
      <c r="EV18" s="38">
        <f>SUMIF('Rig 204'!$B:$B,Lists!$A$26,'Rig 204'!$H:$H)</f>
        <v>0</v>
      </c>
      <c r="EW18" s="38">
        <f>SUMIF('Rig 204'!$B:$B,Lists!$A$26,'Rig 204'!$I:$I)</f>
        <v>0</v>
      </c>
      <c r="EX18" s="38">
        <f>SUMIF('Rig 204'!$B:$B,Lists!$A$27,'Rig 204'!$C:$C)</f>
        <v>0</v>
      </c>
      <c r="EY18" s="38">
        <f>SUMIF('Rig 204'!$B:$B,Lists!$A$27,'Rig 204'!$E:$E)</f>
        <v>0</v>
      </c>
      <c r="EZ18" s="38">
        <f>SUMIF('Rig 204'!$B:$B,Lists!$A$27,'Rig 204'!$F:$F)</f>
        <v>0</v>
      </c>
      <c r="FA18" s="38">
        <f>SUMIF('Rig 204'!$B:$B,Lists!$A$27,'Rig 204'!$G:$G)</f>
        <v>0</v>
      </c>
      <c r="FB18" s="38">
        <f>SUMIF('Rig 204'!$B:$B,Lists!$A$27,'Rig 204'!$H:$H)</f>
        <v>0</v>
      </c>
      <c r="FC18" s="38">
        <f>SUMIF('Rig 204'!$B:$B,Lists!$A$27,'Rig 204'!$I:$I)</f>
        <v>0</v>
      </c>
      <c r="FD18" s="38">
        <f>SUMIF('Rig 204'!$B:$B,Lists!$A$28,'Rig 204'!$C:$C)</f>
        <v>0</v>
      </c>
      <c r="FE18" s="38">
        <f>SUMIF('Rig 204'!$B:$B,Lists!$A$28,'Rig 204'!$E:$E)</f>
        <v>0</v>
      </c>
      <c r="FF18" s="38">
        <f>SUMIF('Rig 204'!$B:$B,Lists!$A$28,'Rig 204'!$F:$F)</f>
        <v>0</v>
      </c>
      <c r="FG18" s="38">
        <f>SUMIF('Rig 204'!$B:$B,Lists!$A$28,'Rig 204'!$G:$G)</f>
        <v>0</v>
      </c>
      <c r="FH18" s="38">
        <f>SUMIF('Rig 204'!$B:$B,Lists!$A$28,'Rig 204'!$H:$H)</f>
        <v>0</v>
      </c>
      <c r="FI18" s="38">
        <f>SUMIF('Rig 204'!$B:$B,Lists!$A$28,'Rig 204'!$I:$I)</f>
        <v>0</v>
      </c>
      <c r="FJ18" s="38">
        <f>SUMIF('Rig 204'!$B:$B,Lists!$A$29,'Rig 204'!$C:$C)</f>
        <v>21</v>
      </c>
      <c r="FK18" s="38">
        <f>SUMIF('Rig 204'!$B:$B,Lists!$A$29,'Rig 204'!$E:$E)</f>
        <v>19</v>
      </c>
      <c r="FL18" s="38">
        <f>SUMIF('Rig 204'!$B:$B,Lists!$A$29,'Rig 204'!$F:$F)</f>
        <v>0</v>
      </c>
      <c r="FM18" s="38">
        <f>SUMIF('Rig 204'!$B:$B,Lists!$A$29,'Rig 204'!$G:$G)</f>
        <v>0</v>
      </c>
      <c r="FN18" s="38">
        <f>SUMIF('Rig 204'!$B:$B,Lists!$A$29,'Rig 204'!$H:$H)</f>
        <v>0</v>
      </c>
      <c r="FO18" s="38">
        <f>SUMIF('Rig 204'!$B:$B,Lists!$A$29,'Rig 204'!$I:$I)</f>
        <v>0</v>
      </c>
      <c r="FP18" s="38">
        <f>SUMIF('Rig 204'!$B:$B,Lists!$A$30,'Rig 204'!$C:$C)</f>
        <v>0</v>
      </c>
      <c r="FQ18" s="38">
        <f>SUMIF('Rig 204'!$B:$B,Lists!$A$30,'Rig 204'!$E:$E)</f>
        <v>0</v>
      </c>
      <c r="FR18" s="38">
        <f>SUMIF('Rig 204'!$B:$B,Lists!$A$30,'Rig 204'!$F:$F)</f>
        <v>0</v>
      </c>
      <c r="FS18" s="38">
        <f>SUMIF('Rig 204'!$B:$B,Lists!$A$30,'Rig 204'!$G:$G)</f>
        <v>0</v>
      </c>
      <c r="FT18" s="38">
        <f>SUMIF('Rig 204'!$B:$B,Lists!$A$30,'Rig 204'!$H:$H)</f>
        <v>0</v>
      </c>
      <c r="FU18" s="38">
        <f>SUMIF('Rig 204'!$B:$B,Lists!$A$30,'Rig 204'!$I:$I)</f>
        <v>0</v>
      </c>
      <c r="FV18" s="38">
        <f>SUMIF('Rig 204'!$B:$B,Lists!$A$31,'Rig 204'!$C:$C)</f>
        <v>0</v>
      </c>
      <c r="FW18" s="38">
        <f>SUMIF('Rig 204'!$B:$B,Lists!$A$31,'Rig 204'!$E:$E)</f>
        <v>0</v>
      </c>
      <c r="FX18" s="38">
        <f>SUMIF('Rig 204'!$B:$B,Lists!$A$31,'Rig 204'!$F:$F)</f>
        <v>0</v>
      </c>
      <c r="FY18" s="38">
        <f>SUMIF('Rig 204'!$B:$B,Lists!$A$31,'Rig 204'!$G:$G)</f>
        <v>0</v>
      </c>
      <c r="FZ18" s="38">
        <f>SUMIF('Rig 204'!$B:$B,Lists!$A$31,'Rig 204'!$H:$H)</f>
        <v>0</v>
      </c>
      <c r="GA18" s="38">
        <f>SUMIF('Rig 204'!$B:$B,Lists!$A$31,'Rig 204'!$I:$I)</f>
        <v>0</v>
      </c>
      <c r="GB18" s="38">
        <f>SUMIF('Rig 204'!$B:$B,Lists!$A$32,'Rig 204'!$C:$C)</f>
        <v>0</v>
      </c>
      <c r="GC18" s="38">
        <f>SUMIF('Rig 204'!$B:$B,Lists!$A$32,'Rig 204'!$E:$E)</f>
        <v>0</v>
      </c>
      <c r="GD18" s="38">
        <f>SUMIF('Rig 204'!$B:$B,Lists!$A$32,'Rig 204'!$F:$F)</f>
        <v>0</v>
      </c>
      <c r="GE18" s="38">
        <f>SUMIF('Rig 204'!$B:$B,Lists!$A$32,'Rig 204'!$G:$G)</f>
        <v>0</v>
      </c>
      <c r="GF18" s="38">
        <f>SUMIF('Rig 204'!$B:$B,Lists!$A$32,'Rig 204'!$H:$H)</f>
        <v>0</v>
      </c>
      <c r="GG18" s="38">
        <f>SUMIF('Rig 204'!$B:$B,Lists!$A$32,'Rig 204'!$I:$I)</f>
        <v>0</v>
      </c>
      <c r="GH18" s="38">
        <f>SUMIF('Rig 204'!$B:$B,Lists!$A$33,'Rig 204'!$C:$C)</f>
        <v>0</v>
      </c>
      <c r="GI18" s="38">
        <f>SUMIF('Rig 204'!$B:$B,Lists!$A$33,'Rig 204'!$E:$E)</f>
        <v>0</v>
      </c>
      <c r="GJ18" s="38">
        <f>SUMIF('Rig 204'!$B:$B,Lists!$A$33,'Rig 204'!$F:$F)</f>
        <v>0</v>
      </c>
      <c r="GK18" s="38">
        <f>SUMIF('Rig 204'!$B:$B,Lists!$A$33,'Rig 204'!$G:$G)</f>
        <v>0</v>
      </c>
      <c r="GL18" s="38">
        <f>SUMIF('Rig 204'!$B:$B,Lists!$A$33,'Rig 204'!$H:$H)</f>
        <v>0</v>
      </c>
      <c r="GM18" s="38">
        <f>SUMIF('Rig 204'!$B:$B,Lists!$A$33,'Rig 204'!$I:$I)</f>
        <v>0</v>
      </c>
      <c r="GN18" s="38">
        <f>SUMIF('Rig 204'!$B:$B,Lists!$A$34,'Rig 204'!$C:$C)</f>
        <v>6</v>
      </c>
      <c r="GO18" s="38">
        <f>SUMIF('Rig 204'!$B:$B,Lists!$A$34,'Rig 204'!$E:$E)</f>
        <v>0</v>
      </c>
      <c r="GP18" s="38">
        <f>SUMIF('Rig 204'!$B:$B,Lists!$A$34,'Rig 204'!$F:$F)</f>
        <v>0</v>
      </c>
      <c r="GQ18" s="38">
        <f>SUMIF('Rig 204'!$B:$B,Lists!$A$34,'Rig 204'!$G:$G)</f>
        <v>0</v>
      </c>
      <c r="GR18" s="38">
        <f>SUMIF('Rig 204'!$B:$B,Lists!$A$34,'Rig 204'!$H:$H)</f>
        <v>0</v>
      </c>
      <c r="GS18" s="38">
        <f>SUMIF('Rig 204'!$B:$B,Lists!$A$34,'Rig 204'!$I:$I)</f>
        <v>0</v>
      </c>
      <c r="GT18" s="38">
        <f>SUMIF('Rig 204'!$B:$B,Lists!$A$35,'Rig 204'!$C:$C)</f>
        <v>0</v>
      </c>
      <c r="GU18" s="38">
        <f>SUMIF('Rig 204'!$B:$B,Lists!$A$35,'Rig 204'!$E:$E)</f>
        <v>0</v>
      </c>
      <c r="GV18" s="38">
        <f>SUMIF('Rig 204'!$B:$B,Lists!$A$35,'Rig 204'!$F:$F)</f>
        <v>0</v>
      </c>
      <c r="GW18" s="38">
        <f>SUMIF('Rig 204'!$B:$B,Lists!$A$35,'Rig 204'!$G:$G)</f>
        <v>0</v>
      </c>
      <c r="GX18" s="38">
        <f>SUMIF('Rig 204'!$B:$B,Lists!$A$35,'Rig 204'!$H:$H)</f>
        <v>0</v>
      </c>
      <c r="GY18" s="38">
        <f>SUMIF('Rig 204'!$B:$B,Lists!$A$35,'Rig 204'!$I:$I)</f>
        <v>0</v>
      </c>
      <c r="GZ18" s="38">
        <f>SUMIF('Rig 204'!$B:$B,Lists!$A$36,'Rig 204'!$C:$C)</f>
        <v>0</v>
      </c>
      <c r="HA18" s="38">
        <f>SUMIF('Rig 204'!$B:$B,Lists!$A$36,'Rig 204'!$E:$E)</f>
        <v>0</v>
      </c>
      <c r="HB18" s="38">
        <f>SUMIF('Rig 204'!$B:$B,Lists!$A$36,'Rig 204'!$F:$F)</f>
        <v>0</v>
      </c>
      <c r="HC18" s="38">
        <f>SUMIF('Rig 204'!$B:$B,Lists!$A$36,'Rig 204'!$G:$G)</f>
        <v>0</v>
      </c>
      <c r="HD18" s="38">
        <f>SUMIF('Rig 204'!$B:$B,Lists!$A$36,'Rig 204'!$H:$H)</f>
        <v>0</v>
      </c>
      <c r="HE18" s="38">
        <f>SUMIF('Rig 204'!$B:$B,Lists!$A$36,'Rig 204'!$I:$I)</f>
        <v>0</v>
      </c>
      <c r="HF18" s="38">
        <f>SUMIF('Rig 204'!$B:$B,Lists!$A$37,'Rig 204'!$C:$C)</f>
        <v>0</v>
      </c>
      <c r="HG18" s="38">
        <f>SUMIF('Rig 204'!$B:$B,Lists!$A$37,'Rig 204'!$E:$E)</f>
        <v>0</v>
      </c>
      <c r="HH18" s="38">
        <f>SUMIF('Rig 204'!$B:$B,Lists!$A$37,'Rig 204'!$F:$F)</f>
        <v>0</v>
      </c>
      <c r="HI18" s="38">
        <f>SUMIF('Rig 204'!$B:$B,Lists!$A$37,'Rig 204'!$G:$G)</f>
        <v>0</v>
      </c>
      <c r="HJ18" s="38">
        <f>SUMIF('Rig 204'!$B:$B,Lists!$A$37,'Rig 204'!$H:$H)</f>
        <v>0</v>
      </c>
      <c r="HK18" s="38">
        <f>SUMIF('Rig 204'!$B:$B,Lists!$A$37,'Rig 204'!$I:$I)</f>
        <v>0</v>
      </c>
      <c r="HL18" s="38">
        <f>SUMIF('Rig 204'!$B:$B,Lists!$A$38,'Rig 204'!$C:$C)</f>
        <v>0</v>
      </c>
      <c r="HM18" s="38">
        <f>SUMIF('Rig 204'!$B:$B,Lists!$A$38,'Rig 204'!$E:$E)</f>
        <v>0</v>
      </c>
      <c r="HN18" s="38">
        <f>SUMIF('Rig 204'!$B:$B,Lists!$A$38,'Rig 204'!$F:$F)</f>
        <v>0</v>
      </c>
      <c r="HO18" s="38">
        <f>SUMIF('Rig 204'!$B:$B,Lists!$A$38,'Rig 204'!$G:$G)</f>
        <v>0</v>
      </c>
      <c r="HP18" s="38">
        <f>SUMIF('Rig 204'!$B:$B,Lists!$A$38,'Rig 204'!$H:$H)</f>
        <v>0</v>
      </c>
      <c r="HQ18" s="38">
        <f>SUMIF('Rig 204'!$B:$B,Lists!$A$38,'Rig 204'!$I:$I)</f>
        <v>0</v>
      </c>
      <c r="HR18" s="38">
        <f>SUMIF('Rig 204'!$B:$B,Lists!$A$39,'Rig 204'!$C:$C)</f>
        <v>6</v>
      </c>
      <c r="HS18" s="38">
        <f>SUMIF('Rig 204'!$B:$B,Lists!$A$39,'Rig 204'!$E:$E)</f>
        <v>9</v>
      </c>
      <c r="HT18" s="38">
        <f>SUMIF('Rig 204'!$B:$B,Lists!$A$39,'Rig 204'!$F:$F)</f>
        <v>0</v>
      </c>
      <c r="HU18" s="38">
        <f>SUMIF('Rig 204'!$B:$B,Lists!$A$39,'Rig 204'!$G:$G)</f>
        <v>0</v>
      </c>
      <c r="HV18" s="38">
        <f>SUMIF('Rig 204'!$B:$B,Lists!$A$39,'Rig 204'!$H:$H)</f>
        <v>0</v>
      </c>
      <c r="HW18" s="38">
        <f>SUMIF('Rig 204'!$B:$B,Lists!$A$39,'Rig 204'!$I:$I)</f>
        <v>0</v>
      </c>
      <c r="HX18" s="38">
        <f>SUMIF('Rig 204'!$B:$B,Lists!$A$40,'Rig 204'!$C:$C)</f>
        <v>0</v>
      </c>
      <c r="HY18" s="38">
        <f>SUMIF('Rig 204'!$B:$B,Lists!$A$40,'Rig 204'!$E:$E)</f>
        <v>0</v>
      </c>
      <c r="HZ18" s="38">
        <f>SUMIF('Rig 204'!$B:$B,Lists!$A$40,'Rig 204'!$F:$F)</f>
        <v>0</v>
      </c>
      <c r="IA18" s="38">
        <f>SUMIF('Rig 204'!$B:$B,Lists!$A$40,'Rig 204'!$G:$G)</f>
        <v>0</v>
      </c>
      <c r="IB18" s="38">
        <f>SUMIF('Rig 204'!$B:$B,Lists!$A$40,'Rig 204'!$H:$H)</f>
        <v>0</v>
      </c>
      <c r="IC18" s="38">
        <f>SUMIF('Rig 204'!$B:$B,Lists!$A$40,'Rig 204'!$I:$I)</f>
        <v>0</v>
      </c>
      <c r="ID18" s="38">
        <f>SUMIF('Rig 204'!$B:$B,Lists!$A$41,'Rig 204'!$C:$C)</f>
        <v>0</v>
      </c>
      <c r="IE18" s="38">
        <f>SUMIF('Rig 204'!$B:$B,Lists!$A$41,'Rig 204'!$E:$E)</f>
        <v>0</v>
      </c>
      <c r="IF18" s="38">
        <f>SUMIF('Rig 204'!$B:$B,Lists!$A$41,'Rig 204'!$F:$F)</f>
        <v>0</v>
      </c>
      <c r="IG18" s="38">
        <f>SUMIF('Rig 204'!$B:$B,Lists!$A$41,'Rig 204'!$G:$G)</f>
        <v>0</v>
      </c>
      <c r="IH18" s="38">
        <f>SUMIF('Rig 204'!$B:$B,Lists!$A$41,'Rig 204'!$H:$H)</f>
        <v>0</v>
      </c>
      <c r="II18" s="38">
        <f>SUMIF('Rig 204'!$B:$B,Lists!$A$41,'Rig 204'!$I:$I)</f>
        <v>0</v>
      </c>
    </row>
    <row r="19" spans="1:243" ht="19.5" customHeight="1" x14ac:dyDescent="0.3">
      <c r="A19" s="31" t="s">
        <v>90</v>
      </c>
      <c r="B19" s="32">
        <f>'Rig 205'!D2</f>
        <v>46161</v>
      </c>
      <c r="C19" s="33" t="s">
        <v>77</v>
      </c>
      <c r="D19" s="34">
        <f>SUMIF('Rig 205'!$B:$B,Lists!$A$2,'Rig 205'!$C:$C)</f>
        <v>0</v>
      </c>
      <c r="E19" s="34">
        <f>SUMIF('Rig 205'!$B:$B,Lists!$A$2,'Rig 205'!$E:$E)</f>
        <v>0</v>
      </c>
      <c r="F19" s="34">
        <f>SUMIF('Rig 205'!$B:$B,Lists!$A$2,'Rig 205'!$F:$F)</f>
        <v>0</v>
      </c>
      <c r="G19" s="34">
        <f>SUMIF('Rig 205'!$B:$B,Lists!$A$2,'Rig 205'!$G:$G)</f>
        <v>0</v>
      </c>
      <c r="H19" s="34">
        <f>SUMIF('Rig 205'!$B:$B,Lists!$A$2,'Rig 205'!$H:$H)</f>
        <v>0</v>
      </c>
      <c r="I19" s="34">
        <f>SUMIF('Rig 205'!$B:$B,Lists!$A$2,'Rig 205'!$I:$I)</f>
        <v>0</v>
      </c>
      <c r="J19" s="34">
        <f>SUMIF('Rig 205'!$B:$B,Lists!$A$3,'Rig 205'!$C:$C)</f>
        <v>0</v>
      </c>
      <c r="K19" s="34">
        <f>SUMIF('Rig 205'!$B:$B,Lists!$A$3,'Rig 205'!$E:$E)</f>
        <v>0</v>
      </c>
      <c r="L19" s="34">
        <f>SUMIF('Rig 205'!$B:$B,Lists!$A$3,'Rig 205'!$F:$F)</f>
        <v>0</v>
      </c>
      <c r="M19" s="34">
        <f>SUMIF('Rig 205'!$B:$B,Lists!$A$3,'Rig 205'!$G:$G)</f>
        <v>0</v>
      </c>
      <c r="N19" s="34">
        <f>SUMIF('Rig 205'!$B:$B,Lists!$A$3,'Rig 205'!$H:$H)</f>
        <v>0</v>
      </c>
      <c r="O19" s="34">
        <f>SUMIF('Rig 205'!$B:$B,Lists!$A$3,'Rig 205'!$I:$I)</f>
        <v>0</v>
      </c>
      <c r="P19" s="34">
        <f>SUMIF('Rig 205'!$B:$B,Lists!$A$4,'Rig 205'!$C:$C)</f>
        <v>0</v>
      </c>
      <c r="Q19" s="34">
        <f>SUMIF('Rig 205'!$B:$B,Lists!$A$4,'Rig 205'!$E:$E)</f>
        <v>0</v>
      </c>
      <c r="R19" s="34">
        <f>SUMIF('Rig 205'!$B:$B,Lists!$A$4,'Rig 205'!$F:$F)</f>
        <v>0</v>
      </c>
      <c r="S19" s="34">
        <f>SUMIF('Rig 205'!$B:$B,Lists!$A$4,'Rig 205'!$G:$G)</f>
        <v>0</v>
      </c>
      <c r="T19" s="34">
        <f>SUMIF('Rig 205'!$B:$B,Lists!$A$4,'Rig 205'!$H:$H)</f>
        <v>0</v>
      </c>
      <c r="U19" s="34">
        <f>SUMIF('Rig 205'!$B:$B,Lists!$A$4,'Rig 205'!$I:$I)</f>
        <v>0</v>
      </c>
      <c r="V19" s="34">
        <f>SUMIF('Rig 205'!$B:$B,Lists!$A$5,'Rig 205'!$C:$C)</f>
        <v>0</v>
      </c>
      <c r="W19" s="34">
        <f>SUMIF('Rig 205'!$B:$B,Lists!$A$5,'Rig 205'!$E:$E)</f>
        <v>0</v>
      </c>
      <c r="X19" s="34">
        <f>SUMIF('Rig 205'!$B:$B,Lists!$A$5,'Rig 205'!$F:$F)</f>
        <v>0</v>
      </c>
      <c r="Y19" s="34">
        <f>SUMIF('Rig 205'!$B:$B,Lists!$A$5,'Rig 205'!$G:$G)</f>
        <v>0</v>
      </c>
      <c r="Z19" s="34">
        <f>SUMIF('Rig 205'!$B:$B,Lists!$A$5,'Rig 205'!$H:$H)</f>
        <v>0</v>
      </c>
      <c r="AA19" s="34">
        <f>SUMIF('Rig 205'!$B:$B,Lists!$A$5,'Rig 205'!$I:$I)</f>
        <v>0</v>
      </c>
      <c r="AB19" s="34">
        <f>SUMIF('Rig 205'!$B:$B,Lists!$A$6,'Rig 205'!$C:$C)</f>
        <v>0</v>
      </c>
      <c r="AC19" s="34">
        <f>SUMIF('Rig 205'!$B:$B,Lists!$A$6,'Rig 205'!$E:$E)</f>
        <v>0</v>
      </c>
      <c r="AD19" s="34">
        <f>SUMIF('Rig 205'!$B:$B,Lists!$A$6,'Rig 205'!$F:$F)</f>
        <v>0</v>
      </c>
      <c r="AE19" s="34">
        <f>SUMIF('Rig 205'!$B:$B,Lists!$A$6,'Rig 205'!$G:$G)</f>
        <v>0</v>
      </c>
      <c r="AF19" s="34">
        <f>SUMIF('Rig 205'!$B:$B,Lists!$A$6,'Rig 205'!$H:$H)</f>
        <v>0</v>
      </c>
      <c r="AG19" s="34">
        <f>SUMIF('Rig 205'!$B:$B,Lists!$A$6,'Rig 205'!$I:$I)</f>
        <v>0</v>
      </c>
      <c r="AH19" s="34">
        <f>SUMIF('Rig 205'!$B:$B,Lists!$A$7,'Rig 205'!$C:$C)</f>
        <v>0</v>
      </c>
      <c r="AI19" s="34">
        <f>SUMIF('Rig 205'!$B:$B,Lists!$A$7,'Rig 205'!$E:$E)</f>
        <v>0</v>
      </c>
      <c r="AJ19" s="34">
        <f>SUMIF('Rig 205'!$B:$B,Lists!$A$7,'Rig 205'!$F:$F)</f>
        <v>0</v>
      </c>
      <c r="AK19" s="34">
        <f>SUMIF('Rig 205'!$B:$B,Lists!$A$7,'Rig 205'!$G:$G)</f>
        <v>0</v>
      </c>
      <c r="AL19" s="34">
        <f>SUMIF('Rig 205'!$B:$B,Lists!$A$7,'Rig 205'!$H:$H)</f>
        <v>0</v>
      </c>
      <c r="AM19" s="34">
        <f>SUMIF('Rig 205'!$B:$B,Lists!$A$7,'Rig 205'!$I:$I)</f>
        <v>0</v>
      </c>
      <c r="AN19" s="34">
        <f>SUMIF('Rig 205'!$B:$B,Lists!$A$8,'Rig 205'!$C:$C)</f>
        <v>62</v>
      </c>
      <c r="AO19" s="34">
        <f>SUMIF('Rig 205'!$B:$B,Lists!$A$8,'Rig 205'!$E:$E)</f>
        <v>0</v>
      </c>
      <c r="AP19" s="34">
        <f>SUMIF('Rig 205'!$B:$B,Lists!$A$8,'Rig 205'!$F:$F)</f>
        <v>0</v>
      </c>
      <c r="AQ19" s="34">
        <f>SUMIF('Rig 205'!$B:$B,Lists!$A$8,'Rig 205'!$G:$G)</f>
        <v>0</v>
      </c>
      <c r="AR19" s="34">
        <f>SUMIF('Rig 205'!$B:$B,Lists!$A$8,'Rig 205'!$H:$H)</f>
        <v>0</v>
      </c>
      <c r="AS19" s="34">
        <f>SUMIF('Rig 205'!$B:$B,Lists!$A$8,'Rig 205'!$I:$I)</f>
        <v>0</v>
      </c>
      <c r="AT19" s="34">
        <f>SUMIF('Rig 205'!$B:$B,Lists!$A$9,'Rig 205'!$C:$C)</f>
        <v>0</v>
      </c>
      <c r="AU19" s="34">
        <f>SUMIF('Rig 205'!$B:$B,Lists!$A$9,'Rig 205'!$E:$E)</f>
        <v>0</v>
      </c>
      <c r="AV19" s="34">
        <f>SUMIF('Rig 205'!$B:$B,Lists!$A$9,'Rig 205'!$F:$F)</f>
        <v>0</v>
      </c>
      <c r="AW19" s="34">
        <f>SUMIF('Rig 205'!$B:$B,Lists!$A$9,'Rig 205'!$G:$G)</f>
        <v>0</v>
      </c>
      <c r="AX19" s="34">
        <f>SUMIF('Rig 205'!$B:$B,Lists!$A$9,'Rig 205'!$H:$H)</f>
        <v>0</v>
      </c>
      <c r="AY19" s="34">
        <f>SUMIF('Rig 205'!$B:$B,Lists!$A$9,'Rig 205'!$I:$I)</f>
        <v>0</v>
      </c>
      <c r="AZ19" s="34">
        <f>SUMIF('Rig 205'!$B:$B,Lists!$A$10,'Rig 205'!$C:$C)</f>
        <v>0</v>
      </c>
      <c r="BA19" s="34">
        <f>SUMIF('Rig 205'!$B:$B,Lists!$A$10,'Rig 205'!$E:$E)</f>
        <v>0</v>
      </c>
      <c r="BB19" s="34">
        <f>SUMIF('Rig 205'!$B:$B,Lists!$A$10,'Rig 205'!$F:$F)</f>
        <v>0</v>
      </c>
      <c r="BC19" s="34">
        <f>SUMIF('Rig 205'!$B:$B,Lists!$A$10,'Rig 205'!$G:$G)</f>
        <v>0</v>
      </c>
      <c r="BD19" s="34">
        <f>SUMIF('Rig 205'!$B:$B,Lists!$A$10,'Rig 205'!$H:$H)</f>
        <v>0</v>
      </c>
      <c r="BE19" s="34">
        <f>SUMIF('Rig 205'!$B:$B,Lists!$A$10,'Rig 205'!$I:$I)</f>
        <v>0</v>
      </c>
      <c r="BF19" s="34">
        <f>SUMIF('Rig 205'!$B:$B,Lists!$A$11,'Rig 205'!$C:$C)</f>
        <v>0</v>
      </c>
      <c r="BG19" s="34">
        <f>SUMIF('Rig 205'!$B:$B,Lists!$A$11,'Rig 205'!$E:$E)</f>
        <v>200</v>
      </c>
      <c r="BH19" s="34">
        <f>SUMIF('Rig 205'!$B:$B,Lists!$A$11,'Rig 205'!$F:$F)</f>
        <v>0</v>
      </c>
      <c r="BI19" s="34">
        <f>SUMIF('Rig 205'!$B:$B,Lists!$A$11,'Rig 205'!$G:$G)</f>
        <v>0</v>
      </c>
      <c r="BJ19" s="34">
        <f>SUMIF('Rig 205'!$B:$B,Lists!$A$11,'Rig 205'!$H:$H)</f>
        <v>0</v>
      </c>
      <c r="BK19" s="34">
        <f>SUMIF('Rig 205'!$B:$B,Lists!$A$11,'Rig 205'!$I:$I)</f>
        <v>0</v>
      </c>
      <c r="BL19" s="34">
        <f>SUMIF('Rig 205'!$B:$B,Lists!$A$12,'Rig 205'!$C:$C)</f>
        <v>0</v>
      </c>
      <c r="BM19" s="34">
        <f>SUMIF('Rig 205'!$B:$B,Lists!$A$12,'Rig 205'!$E:$E)</f>
        <v>75</v>
      </c>
      <c r="BN19" s="34">
        <f>SUMIF('Rig 205'!$B:$B,Lists!$A$12,'Rig 205'!$F:$F)</f>
        <v>0</v>
      </c>
      <c r="BO19" s="34">
        <f>SUMIF('Rig 205'!$B:$B,Lists!$A$12,'Rig 205'!$G:$G)</f>
        <v>0</v>
      </c>
      <c r="BP19" s="34">
        <f>SUMIF('Rig 205'!$B:$B,Lists!$A$12,'Rig 205'!$H:$H)</f>
        <v>0</v>
      </c>
      <c r="BQ19" s="34">
        <f>SUMIF('Rig 205'!$B:$B,Lists!$A$12,'Rig 205'!$I:$I)</f>
        <v>0</v>
      </c>
      <c r="BR19" s="34">
        <f>SUMIF('Rig 205'!$B:$B,Lists!$A$13,'Rig 205'!$C:$C)</f>
        <v>364</v>
      </c>
      <c r="BS19" s="34">
        <f>SUMIF('Rig 205'!$B:$B,Lists!$A$13,'Rig 205'!$E:$E)</f>
        <v>197</v>
      </c>
      <c r="BT19" s="34">
        <f>SUMIF('Rig 205'!$B:$B,Lists!$A$13,'Rig 205'!$F:$F)</f>
        <v>0</v>
      </c>
      <c r="BU19" s="34">
        <f>SUMIF('Rig 205'!$B:$B,Lists!$A$13,'Rig 205'!$G:$G)</f>
        <v>0</v>
      </c>
      <c r="BV19" s="34">
        <f>SUMIF('Rig 205'!$B:$B,Lists!$A$13,'Rig 205'!$H:$H)</f>
        <v>0</v>
      </c>
      <c r="BW19" s="34">
        <f>SUMIF('Rig 205'!$B:$B,Lists!$A$13,'Rig 205'!$I:$I)</f>
        <v>0</v>
      </c>
      <c r="BX19" s="34">
        <f>SUMIF('Rig 205'!$B:$B,Lists!$A$14,'Rig 205'!$C:$C)</f>
        <v>0</v>
      </c>
      <c r="BY19" s="34">
        <f>SUMIF('Rig 205'!$B:$B,Lists!$A$14,'Rig 205'!$E:$E)</f>
        <v>0</v>
      </c>
      <c r="BZ19" s="34">
        <f>SUMIF('Rig 205'!$B:$B,Lists!$A$14,'Rig 205'!$F:$F)</f>
        <v>0</v>
      </c>
      <c r="CA19" s="34">
        <f>SUMIF('Rig 205'!$B:$B,Lists!$A$14,'Rig 205'!$G:$G)</f>
        <v>0</v>
      </c>
      <c r="CB19" s="34">
        <f>SUMIF('Rig 205'!$B:$B,Lists!$A$14,'Rig 205'!$H:$H)</f>
        <v>0</v>
      </c>
      <c r="CC19" s="34">
        <f>SUMIF('Rig 205'!$B:$B,Lists!$A$14,'Rig 205'!$I:$I)</f>
        <v>0</v>
      </c>
      <c r="CD19" s="34">
        <f>SUMIF('Rig 205'!$B:$B,Lists!$A$15,'Rig 205'!$C:$C)</f>
        <v>0</v>
      </c>
      <c r="CE19" s="34">
        <f>SUMIF('Rig 205'!$B:$B,Lists!$A$15,'Rig 205'!$E:$E)</f>
        <v>0</v>
      </c>
      <c r="CF19" s="34">
        <f>SUMIF('Rig 205'!$B:$B,Lists!$A$15,'Rig 205'!$F:$F)</f>
        <v>0</v>
      </c>
      <c r="CG19" s="34">
        <f>SUMIF('Rig 205'!$B:$B,Lists!$A$15,'Rig 205'!$G:$G)</f>
        <v>0</v>
      </c>
      <c r="CH19" s="34">
        <f>SUMIF('Rig 205'!$B:$B,Lists!$A$15,'Rig 205'!$H:$H)</f>
        <v>0</v>
      </c>
      <c r="CI19" s="34">
        <f>SUMIF('Rig 205'!$B:$B,Lists!$A$15,'Rig 205'!$I:$I)</f>
        <v>0</v>
      </c>
      <c r="CJ19" s="34">
        <f>SUMIF('Rig 205'!$B:$B,Lists!$A$16,'Rig 205'!$C:$C)</f>
        <v>0</v>
      </c>
      <c r="CK19" s="34">
        <f>SUMIF('Rig 205'!$B:$B,Lists!$A$16,'Rig 205'!$E:$E)</f>
        <v>0</v>
      </c>
      <c r="CL19" s="34">
        <f>SUMIF('Rig 205'!$B:$B,Lists!$A$16,'Rig 205'!$F:$F)</f>
        <v>0</v>
      </c>
      <c r="CM19" s="34">
        <f>SUMIF('Rig 205'!$B:$B,Lists!$A$16,'Rig 205'!$G:$G)</f>
        <v>0</v>
      </c>
      <c r="CN19" s="34">
        <f>SUMIF('Rig 205'!$B:$B,Lists!$A$16,'Rig 205'!$H:$H)</f>
        <v>0</v>
      </c>
      <c r="CO19" s="34">
        <f>SUMIF('Rig 205'!$B:$B,Lists!$A$16,'Rig 205'!$I:$I)</f>
        <v>0</v>
      </c>
      <c r="CP19" s="34">
        <f>SUMIF('Rig 205'!$B:$B,Lists!$A$17,'Rig 205'!$C:$C)</f>
        <v>0</v>
      </c>
      <c r="CQ19" s="34">
        <f>SUMIF('Rig 205'!$B:$B,Lists!$A$17,'Rig 205'!$E:$E)</f>
        <v>0</v>
      </c>
      <c r="CR19" s="34">
        <f>SUMIF('Rig 205'!$B:$B,Lists!$A$17,'Rig 205'!$F:$F)</f>
        <v>0</v>
      </c>
      <c r="CS19" s="34">
        <f>SUMIF('Rig 205'!$B:$B,Lists!$A$17,'Rig 205'!$G:$G)</f>
        <v>0</v>
      </c>
      <c r="CT19" s="34">
        <f>SUMIF('Rig 205'!$B:$B,Lists!$A$17,'Rig 205'!$H:$H)</f>
        <v>0</v>
      </c>
      <c r="CU19" s="34">
        <f>SUMIF('Rig 205'!$B:$B,Lists!$A$17,'Rig 205'!$I:$I)</f>
        <v>0</v>
      </c>
      <c r="CV19" s="34">
        <f>SUMIF('Rig 205'!$B:$B,Lists!$A$18,'Rig 205'!$C:$C)</f>
        <v>51</v>
      </c>
      <c r="CW19" s="34">
        <f>SUMIF('Rig 205'!$B:$B,Lists!$A$18,'Rig 205'!$E:$E)</f>
        <v>0</v>
      </c>
      <c r="CX19" s="34">
        <f>SUMIF('Rig 205'!$B:$B,Lists!$A$18,'Rig 205'!$F:$F)</f>
        <v>0</v>
      </c>
      <c r="CY19" s="34">
        <f>SUMIF('Rig 205'!$B:$B,Lists!$A$18,'Rig 205'!$G:$G)</f>
        <v>0</v>
      </c>
      <c r="CZ19" s="34">
        <f>SUMIF('Rig 205'!$B:$B,Lists!$A$18,'Rig 205'!$H:$H)</f>
        <v>0</v>
      </c>
      <c r="DA19" s="34">
        <f>SUMIF('Rig 205'!$B:$B,Lists!$A$18,'Rig 205'!$I:$I)</f>
        <v>0</v>
      </c>
      <c r="DB19" s="34">
        <f>SUMIF('Rig 205'!$B:$B,Lists!$A$19,'Rig 205'!$C:$C)</f>
        <v>45</v>
      </c>
      <c r="DC19" s="34">
        <f>SUMIF('Rig 205'!$B:$B,Lists!$A$19,'Rig 205'!$E:$E)</f>
        <v>31</v>
      </c>
      <c r="DD19" s="34">
        <f>SUMIF('Rig 205'!$B:$B,Lists!$A$19,'Rig 205'!$F:$F)</f>
        <v>0</v>
      </c>
      <c r="DE19" s="34">
        <f>SUMIF('Rig 205'!$B:$B,Lists!$A$19,'Rig 205'!$G:$G)</f>
        <v>0</v>
      </c>
      <c r="DF19" s="34">
        <f>SUMIF('Rig 205'!$B:$B,Lists!$A$19,'Rig 205'!$H:$H)</f>
        <v>0</v>
      </c>
      <c r="DG19" s="34">
        <f>SUMIF('Rig 205'!$B:$B,Lists!$A$19,'Rig 205'!$I:$I)</f>
        <v>6</v>
      </c>
      <c r="DH19" s="34">
        <f>SUMIF('Rig 205'!$B:$B,Lists!$A$20,'Rig 205'!$C:$C)</f>
        <v>0</v>
      </c>
      <c r="DI19" s="34">
        <f>SUMIF('Rig 205'!$B:$B,Lists!$A$20,'Rig 205'!$E:$E)</f>
        <v>0</v>
      </c>
      <c r="DJ19" s="34">
        <f>SUMIF('Rig 205'!$B:$B,Lists!$A$20,'Rig 205'!$F:$F)</f>
        <v>0</v>
      </c>
      <c r="DK19" s="34">
        <f>SUMIF('Rig 205'!$B:$B,Lists!$A$20,'Rig 205'!$G:$G)</f>
        <v>0</v>
      </c>
      <c r="DL19" s="34">
        <f>SUMIF('Rig 205'!$B:$B,Lists!$A$20,'Rig 205'!$H:$H)</f>
        <v>0</v>
      </c>
      <c r="DM19" s="34">
        <f>SUMIF('Rig 205'!$B:$B,Lists!$A$20,'Rig 205'!$I:$I)</f>
        <v>0</v>
      </c>
      <c r="DN19" s="34">
        <f>SUMIF('Rig 205'!$B:$B,Lists!$A$21,'Rig 205'!$C:$C)</f>
        <v>0</v>
      </c>
      <c r="DO19" s="34">
        <f>SUMIF('Rig 205'!$B:$B,Lists!$A$21,'Rig 205'!$E:$E)</f>
        <v>0</v>
      </c>
      <c r="DP19" s="34">
        <f>SUMIF('Rig 205'!$B:$B,Lists!$A$21,'Rig 205'!$F:$F)</f>
        <v>0</v>
      </c>
      <c r="DQ19" s="34">
        <f>SUMIF('Rig 205'!$B:$B,Lists!$A$21,'Rig 205'!$G:$G)</f>
        <v>0</v>
      </c>
      <c r="DR19" s="34">
        <f>SUMIF('Rig 205'!$B:$B,Lists!$A$21,'Rig 205'!$H:$H)</f>
        <v>0</v>
      </c>
      <c r="DS19" s="34">
        <f>SUMIF('Rig 205'!$B:$B,Lists!$A$21,'Rig 205'!$I:$I)</f>
        <v>0</v>
      </c>
      <c r="DT19" s="34">
        <f>SUMIF('Rig 205'!$B:$B,Lists!$A$22,'Rig 205'!$C:$C)</f>
        <v>4</v>
      </c>
      <c r="DU19" s="34">
        <f>SUMIF('Rig 205'!$B:$B,Lists!$A$22,'Rig 205'!$E:$E)</f>
        <v>4</v>
      </c>
      <c r="DV19" s="34">
        <f>SUMIF('Rig 205'!$B:$B,Lists!$A$22,'Rig 205'!$F:$F)</f>
        <v>0</v>
      </c>
      <c r="DW19" s="34">
        <f>SUMIF('Rig 205'!$B:$B,Lists!$A$22,'Rig 205'!$G:$G)</f>
        <v>0</v>
      </c>
      <c r="DX19" s="34">
        <f>SUMIF('Rig 205'!$B:$B,Lists!$A$22,'Rig 205'!$H:$H)</f>
        <v>0</v>
      </c>
      <c r="DY19" s="34">
        <f>SUMIF('Rig 205'!$B:$B,Lists!$A$22,'Rig 205'!$I:$I)</f>
        <v>0</v>
      </c>
      <c r="DZ19" s="34">
        <f>SUMIF('Rig 205'!$B:$B,Lists!$A$23,'Rig 205'!$C:$C)</f>
        <v>0</v>
      </c>
      <c r="EA19" s="34">
        <f>SUMIF('Rig 205'!$B:$B,Lists!$A$23,'Rig 205'!$E:$E)</f>
        <v>0</v>
      </c>
      <c r="EB19" s="34">
        <f>SUMIF('Rig 205'!$B:$B,Lists!$A$23,'Rig 205'!$F:$F)</f>
        <v>0</v>
      </c>
      <c r="EC19" s="34">
        <f>SUMIF('Rig 205'!$B:$B,Lists!$A$23,'Rig 205'!$G:$G)</f>
        <v>0</v>
      </c>
      <c r="ED19" s="34">
        <f>SUMIF('Rig 205'!$B:$B,Lists!$A$23,'Rig 205'!$H:$H)</f>
        <v>0</v>
      </c>
      <c r="EE19" s="34">
        <f>SUMIF('Rig 205'!$B:$B,Lists!$A$23,'Rig 205'!$I:$I)</f>
        <v>0</v>
      </c>
      <c r="EF19" s="34">
        <f>SUMIF('Rig 205'!$B:$B,Lists!$A$24,'Rig 205'!$C:$C)</f>
        <v>15</v>
      </c>
      <c r="EG19" s="34">
        <f>SUMIF('Rig 205'!$B:$B,Lists!$A$24,'Rig 205'!$E:$E)</f>
        <v>17</v>
      </c>
      <c r="EH19" s="34">
        <f>SUMIF('Rig 205'!$B:$B,Lists!$A$24,'Rig 205'!$F:$F)</f>
        <v>0</v>
      </c>
      <c r="EI19" s="34">
        <f>SUMIF('Rig 205'!$B:$B,Lists!$A$24,'Rig 205'!$G:$G)</f>
        <v>0</v>
      </c>
      <c r="EJ19" s="34">
        <f>SUMIF('Rig 205'!$B:$B,Lists!$A$24,'Rig 205'!$H:$H)</f>
        <v>0</v>
      </c>
      <c r="EK19" s="34">
        <f>SUMIF('Rig 205'!$B:$B,Lists!$A$24,'Rig 205'!$I:$I)</f>
        <v>0</v>
      </c>
      <c r="EL19" s="34">
        <f>SUMIF('Rig 205'!$B:$B,Lists!$A$25,'Rig 205'!$C:$C)</f>
        <v>0</v>
      </c>
      <c r="EM19" s="34">
        <f>SUMIF('Rig 205'!$B:$B,Lists!$A$25,'Rig 205'!$E:$E)</f>
        <v>0</v>
      </c>
      <c r="EN19" s="34">
        <f>SUMIF('Rig 205'!$B:$B,Lists!$A$25,'Rig 205'!$F:$F)</f>
        <v>0</v>
      </c>
      <c r="EO19" s="34">
        <f>SUMIF('Rig 205'!$B:$B,Lists!$A$25,'Rig 205'!$G:$G)</f>
        <v>0</v>
      </c>
      <c r="EP19" s="34">
        <f>SUMIF('Rig 205'!$B:$B,Lists!$A$25,'Rig 205'!$H:$H)</f>
        <v>0</v>
      </c>
      <c r="EQ19" s="34">
        <f>SUMIF('Rig 205'!$B:$B,Lists!$A$25,'Rig 205'!$I:$I)</f>
        <v>0</v>
      </c>
      <c r="ER19" s="34">
        <f>SUMIF('Rig 205'!$B:$B,Lists!$A$26,'Rig 205'!$C:$C)</f>
        <v>0</v>
      </c>
      <c r="ES19" s="34">
        <f>SUMIF('Rig 205'!$B:$B,Lists!$A$26,'Rig 205'!$E:$E)</f>
        <v>0</v>
      </c>
      <c r="ET19" s="34">
        <f>SUMIF('Rig 205'!$B:$B,Lists!$A$26,'Rig 205'!$F:$F)</f>
        <v>0</v>
      </c>
      <c r="EU19" s="34">
        <f>SUMIF('Rig 205'!$B:$B,Lists!$A$26,'Rig 205'!$G:$G)</f>
        <v>0</v>
      </c>
      <c r="EV19" s="34">
        <f>SUMIF('Rig 205'!$B:$B,Lists!$A$26,'Rig 205'!$H:$H)</f>
        <v>0</v>
      </c>
      <c r="EW19" s="34">
        <f>SUMIF('Rig 205'!$B:$B,Lists!$A$26,'Rig 205'!$I:$I)</f>
        <v>0</v>
      </c>
      <c r="EX19" s="34">
        <f>SUMIF('Rig 205'!$B:$B,Lists!$A$27,'Rig 205'!$C:$C)</f>
        <v>25</v>
      </c>
      <c r="EY19" s="34">
        <f>SUMIF('Rig 205'!$B:$B,Lists!$A$27,'Rig 205'!$E:$E)</f>
        <v>24</v>
      </c>
      <c r="EZ19" s="34">
        <f>SUMIF('Rig 205'!$B:$B,Lists!$A$27,'Rig 205'!$F:$F)</f>
        <v>0</v>
      </c>
      <c r="FA19" s="34">
        <f>SUMIF('Rig 205'!$B:$B,Lists!$A$27,'Rig 205'!$G:$G)</f>
        <v>0</v>
      </c>
      <c r="FB19" s="34">
        <f>SUMIF('Rig 205'!$B:$B,Lists!$A$27,'Rig 205'!$H:$H)</f>
        <v>0</v>
      </c>
      <c r="FC19" s="34">
        <f>SUMIF('Rig 205'!$B:$B,Lists!$A$27,'Rig 205'!$I:$I)</f>
        <v>0</v>
      </c>
      <c r="FD19" s="34">
        <f>SUMIF('Rig 205'!$B:$B,Lists!$A$28,'Rig 205'!$C:$C)</f>
        <v>6</v>
      </c>
      <c r="FE19" s="34">
        <f>SUMIF('Rig 205'!$B:$B,Lists!$A$28,'Rig 205'!$E:$E)</f>
        <v>4</v>
      </c>
      <c r="FF19" s="34">
        <f>SUMIF('Rig 205'!$B:$B,Lists!$A$28,'Rig 205'!$F:$F)</f>
        <v>0</v>
      </c>
      <c r="FG19" s="34">
        <f>SUMIF('Rig 205'!$B:$B,Lists!$A$28,'Rig 205'!$G:$G)</f>
        <v>0</v>
      </c>
      <c r="FH19" s="34">
        <f>SUMIF('Rig 205'!$B:$B,Lists!$A$28,'Rig 205'!$H:$H)</f>
        <v>0</v>
      </c>
      <c r="FI19" s="34">
        <f>SUMIF('Rig 205'!$B:$B,Lists!$A$28,'Rig 205'!$I:$I)</f>
        <v>0</v>
      </c>
      <c r="FJ19" s="34">
        <f>SUMIF('Rig 205'!$B:$B,Lists!$A$29,'Rig 205'!$C:$C)</f>
        <v>0</v>
      </c>
      <c r="FK19" s="34">
        <f>SUMIF('Rig 205'!$B:$B,Lists!$A$29,'Rig 205'!$E:$E)</f>
        <v>0</v>
      </c>
      <c r="FL19" s="34">
        <f>SUMIF('Rig 205'!$B:$B,Lists!$A$29,'Rig 205'!$F:$F)</f>
        <v>0</v>
      </c>
      <c r="FM19" s="34">
        <f>SUMIF('Rig 205'!$B:$B,Lists!$A$29,'Rig 205'!$G:$G)</f>
        <v>0</v>
      </c>
      <c r="FN19" s="34">
        <f>SUMIF('Rig 205'!$B:$B,Lists!$A$29,'Rig 205'!$H:$H)</f>
        <v>0</v>
      </c>
      <c r="FO19" s="34">
        <f>SUMIF('Rig 205'!$B:$B,Lists!$A$29,'Rig 205'!$I:$I)</f>
        <v>0</v>
      </c>
      <c r="FP19" s="34">
        <f>SUMIF('Rig 205'!$B:$B,Lists!$A$30,'Rig 205'!$C:$C)</f>
        <v>0</v>
      </c>
      <c r="FQ19" s="34">
        <f>SUMIF('Rig 205'!$B:$B,Lists!$A$30,'Rig 205'!$E:$E)</f>
        <v>0</v>
      </c>
      <c r="FR19" s="34">
        <f>SUMIF('Rig 205'!$B:$B,Lists!$A$30,'Rig 205'!$F:$F)</f>
        <v>0</v>
      </c>
      <c r="FS19" s="34">
        <f>SUMIF('Rig 205'!$B:$B,Lists!$A$30,'Rig 205'!$G:$G)</f>
        <v>0</v>
      </c>
      <c r="FT19" s="34">
        <f>SUMIF('Rig 205'!$B:$B,Lists!$A$30,'Rig 205'!$H:$H)</f>
        <v>0</v>
      </c>
      <c r="FU19" s="34">
        <f>SUMIF('Rig 205'!$B:$B,Lists!$A$30,'Rig 205'!$I:$I)</f>
        <v>0</v>
      </c>
      <c r="FV19" s="34">
        <f>SUMIF('Rig 205'!$B:$B,Lists!$A$31,'Rig 205'!$C:$C)</f>
        <v>0</v>
      </c>
      <c r="FW19" s="34">
        <f>SUMIF('Rig 205'!$B:$B,Lists!$A$31,'Rig 205'!$E:$E)</f>
        <v>0</v>
      </c>
      <c r="FX19" s="34">
        <f>SUMIF('Rig 205'!$B:$B,Lists!$A$31,'Rig 205'!$F:$F)</f>
        <v>0</v>
      </c>
      <c r="FY19" s="34">
        <f>SUMIF('Rig 205'!$B:$B,Lists!$A$31,'Rig 205'!$G:$G)</f>
        <v>0</v>
      </c>
      <c r="FZ19" s="34">
        <f>SUMIF('Rig 205'!$B:$B,Lists!$A$31,'Rig 205'!$H:$H)</f>
        <v>0</v>
      </c>
      <c r="GA19" s="34">
        <f>SUMIF('Rig 205'!$B:$B,Lists!$A$31,'Rig 205'!$I:$I)</f>
        <v>0</v>
      </c>
      <c r="GB19" s="34">
        <f>SUMIF('Rig 205'!$B:$B,Lists!$A$32,'Rig 205'!$C:$C)</f>
        <v>0</v>
      </c>
      <c r="GC19" s="34">
        <f>SUMIF('Rig 205'!$B:$B,Lists!$A$32,'Rig 205'!$E:$E)</f>
        <v>0</v>
      </c>
      <c r="GD19" s="34">
        <f>SUMIF('Rig 205'!$B:$B,Lists!$A$32,'Rig 205'!$F:$F)</f>
        <v>0</v>
      </c>
      <c r="GE19" s="34">
        <f>SUMIF('Rig 205'!$B:$B,Lists!$A$32,'Rig 205'!$G:$G)</f>
        <v>0</v>
      </c>
      <c r="GF19" s="34">
        <f>SUMIF('Rig 205'!$B:$B,Lists!$A$32,'Rig 205'!$H:$H)</f>
        <v>0</v>
      </c>
      <c r="GG19" s="34">
        <f>SUMIF('Rig 205'!$B:$B,Lists!$A$32,'Rig 205'!$I:$I)</f>
        <v>0</v>
      </c>
      <c r="GH19" s="34">
        <f>SUMIF('Rig 205'!$B:$B,Lists!$A$33,'Rig 205'!$C:$C)</f>
        <v>0</v>
      </c>
      <c r="GI19" s="34">
        <f>SUMIF('Rig 205'!$B:$B,Lists!$A$33,'Rig 205'!$E:$E)</f>
        <v>0</v>
      </c>
      <c r="GJ19" s="34">
        <f>SUMIF('Rig 205'!$B:$B,Lists!$A$33,'Rig 205'!$F:$F)</f>
        <v>0</v>
      </c>
      <c r="GK19" s="34">
        <f>SUMIF('Rig 205'!$B:$B,Lists!$A$33,'Rig 205'!$G:$G)</f>
        <v>0</v>
      </c>
      <c r="GL19" s="34">
        <f>SUMIF('Rig 205'!$B:$B,Lists!$A$33,'Rig 205'!$H:$H)</f>
        <v>0</v>
      </c>
      <c r="GM19" s="34">
        <f>SUMIF('Rig 205'!$B:$B,Lists!$A$33,'Rig 205'!$I:$I)</f>
        <v>0</v>
      </c>
      <c r="GN19" s="34">
        <f>SUMIF('Rig 205'!$B:$B,Lists!$A$34,'Rig 205'!$C:$C)</f>
        <v>0</v>
      </c>
      <c r="GO19" s="34">
        <f>SUMIF('Rig 205'!$B:$B,Lists!$A$34,'Rig 205'!$E:$E)</f>
        <v>0</v>
      </c>
      <c r="GP19" s="34">
        <f>SUMIF('Rig 205'!$B:$B,Lists!$A$34,'Rig 205'!$F:$F)</f>
        <v>0</v>
      </c>
      <c r="GQ19" s="34">
        <f>SUMIF('Rig 205'!$B:$B,Lists!$A$34,'Rig 205'!$G:$G)</f>
        <v>0</v>
      </c>
      <c r="GR19" s="34">
        <f>SUMIF('Rig 205'!$B:$B,Lists!$A$34,'Rig 205'!$H:$H)</f>
        <v>0</v>
      </c>
      <c r="GS19" s="34">
        <f>SUMIF('Rig 205'!$B:$B,Lists!$A$34,'Rig 205'!$I:$I)</f>
        <v>0</v>
      </c>
      <c r="GT19" s="34">
        <f>SUMIF('Rig 205'!$B:$B,Lists!$A$35,'Rig 205'!$C:$C)</f>
        <v>0</v>
      </c>
      <c r="GU19" s="34">
        <f>SUMIF('Rig 205'!$B:$B,Lists!$A$35,'Rig 205'!$E:$E)</f>
        <v>0</v>
      </c>
      <c r="GV19" s="34">
        <f>SUMIF('Rig 205'!$B:$B,Lists!$A$35,'Rig 205'!$F:$F)</f>
        <v>0</v>
      </c>
      <c r="GW19" s="34">
        <f>SUMIF('Rig 205'!$B:$B,Lists!$A$35,'Rig 205'!$G:$G)</f>
        <v>0</v>
      </c>
      <c r="GX19" s="34">
        <f>SUMIF('Rig 205'!$B:$B,Lists!$A$35,'Rig 205'!$H:$H)</f>
        <v>0</v>
      </c>
      <c r="GY19" s="34">
        <f>SUMIF('Rig 205'!$B:$B,Lists!$A$35,'Rig 205'!$I:$I)</f>
        <v>0</v>
      </c>
      <c r="GZ19" s="34">
        <f>SUMIF('Rig 205'!$B:$B,Lists!$A$36,'Rig 205'!$C:$C)</f>
        <v>2</v>
      </c>
      <c r="HA19" s="34">
        <f>SUMIF('Rig 205'!$B:$B,Lists!$A$36,'Rig 205'!$E:$E)</f>
        <v>0</v>
      </c>
      <c r="HB19" s="34">
        <f>SUMIF('Rig 205'!$B:$B,Lists!$A$36,'Rig 205'!$F:$F)</f>
        <v>0</v>
      </c>
      <c r="HC19" s="34">
        <f>SUMIF('Rig 205'!$B:$B,Lists!$A$36,'Rig 205'!$G:$G)</f>
        <v>0</v>
      </c>
      <c r="HD19" s="34">
        <f>SUMIF('Rig 205'!$B:$B,Lists!$A$36,'Rig 205'!$H:$H)</f>
        <v>0</v>
      </c>
      <c r="HE19" s="34">
        <f>SUMIF('Rig 205'!$B:$B,Lists!$A$36,'Rig 205'!$I:$I)</f>
        <v>0</v>
      </c>
      <c r="HF19" s="34">
        <f>SUMIF('Rig 205'!$B:$B,Lists!$A$37,'Rig 205'!$C:$C)</f>
        <v>0</v>
      </c>
      <c r="HG19" s="34">
        <f>SUMIF('Rig 205'!$B:$B,Lists!$A$37,'Rig 205'!$E:$E)</f>
        <v>0</v>
      </c>
      <c r="HH19" s="34">
        <f>SUMIF('Rig 205'!$B:$B,Lists!$A$37,'Rig 205'!$F:$F)</f>
        <v>0</v>
      </c>
      <c r="HI19" s="34">
        <f>SUMIF('Rig 205'!$B:$B,Lists!$A$37,'Rig 205'!$G:$G)</f>
        <v>0</v>
      </c>
      <c r="HJ19" s="34">
        <f>SUMIF('Rig 205'!$B:$B,Lists!$A$37,'Rig 205'!$H:$H)</f>
        <v>0</v>
      </c>
      <c r="HK19" s="34">
        <f>SUMIF('Rig 205'!$B:$B,Lists!$A$37,'Rig 205'!$I:$I)</f>
        <v>0</v>
      </c>
      <c r="HL19" s="34">
        <f>SUMIF('Rig 205'!$B:$B,Lists!$A$38,'Rig 205'!$C:$C)</f>
        <v>0</v>
      </c>
      <c r="HM19" s="34">
        <f>SUMIF('Rig 205'!$B:$B,Lists!$A$38,'Rig 205'!$E:$E)</f>
        <v>0</v>
      </c>
      <c r="HN19" s="34">
        <f>SUMIF('Rig 205'!$B:$B,Lists!$A$38,'Rig 205'!$F:$F)</f>
        <v>0</v>
      </c>
      <c r="HO19" s="34">
        <f>SUMIF('Rig 205'!$B:$B,Lists!$A$38,'Rig 205'!$G:$G)</f>
        <v>0</v>
      </c>
      <c r="HP19" s="34">
        <f>SUMIF('Rig 205'!$B:$B,Lists!$A$38,'Rig 205'!$H:$H)</f>
        <v>0</v>
      </c>
      <c r="HQ19" s="34">
        <f>SUMIF('Rig 205'!$B:$B,Lists!$A$38,'Rig 205'!$I:$I)</f>
        <v>0</v>
      </c>
      <c r="HR19" s="34">
        <f>SUMIF('Rig 205'!$B:$B,Lists!$A$39,'Rig 205'!$C:$C)</f>
        <v>0</v>
      </c>
      <c r="HS19" s="34">
        <f>SUMIF('Rig 205'!$B:$B,Lists!$A$39,'Rig 205'!$E:$E)</f>
        <v>0</v>
      </c>
      <c r="HT19" s="34">
        <f>SUMIF('Rig 205'!$B:$B,Lists!$A$39,'Rig 205'!$F:$F)</f>
        <v>0</v>
      </c>
      <c r="HU19" s="34">
        <f>SUMIF('Rig 205'!$B:$B,Lists!$A$39,'Rig 205'!$G:$G)</f>
        <v>0</v>
      </c>
      <c r="HV19" s="34">
        <f>SUMIF('Rig 205'!$B:$B,Lists!$A$39,'Rig 205'!$H:$H)</f>
        <v>0</v>
      </c>
      <c r="HW19" s="34">
        <f>SUMIF('Rig 205'!$B:$B,Lists!$A$39,'Rig 205'!$I:$I)</f>
        <v>0</v>
      </c>
      <c r="HX19" s="34">
        <f>SUMIF('Rig 205'!$B:$B,Lists!$A$40,'Rig 205'!$C:$C)</f>
        <v>0</v>
      </c>
      <c r="HY19" s="34">
        <f>SUMIF('Rig 205'!$B:$B,Lists!$A$40,'Rig 205'!$E:$E)</f>
        <v>0</v>
      </c>
      <c r="HZ19" s="34">
        <f>SUMIF('Rig 205'!$B:$B,Lists!$A$40,'Rig 205'!$F:$F)</f>
        <v>0</v>
      </c>
      <c r="IA19" s="34">
        <f>SUMIF('Rig 205'!$B:$B,Lists!$A$40,'Rig 205'!$G:$G)</f>
        <v>0</v>
      </c>
      <c r="IB19" s="34">
        <f>SUMIF('Rig 205'!$B:$B,Lists!$A$40,'Rig 205'!$H:$H)</f>
        <v>0</v>
      </c>
      <c r="IC19" s="34">
        <f>SUMIF('Rig 205'!$B:$B,Lists!$A$40,'Rig 205'!$I:$I)</f>
        <v>0</v>
      </c>
      <c r="ID19" s="34">
        <f>SUMIF('Rig 205'!$B:$B,Lists!$A$41,'Rig 205'!$C:$C)</f>
        <v>2</v>
      </c>
      <c r="IE19" s="34">
        <f>SUMIF('Rig 205'!$B:$B,Lists!$A$41,'Rig 205'!$E:$E)</f>
        <v>6</v>
      </c>
      <c r="IF19" s="34">
        <f>SUMIF('Rig 205'!$B:$B,Lists!$A$41,'Rig 205'!$F:$F)</f>
        <v>0</v>
      </c>
      <c r="IG19" s="34">
        <f>SUMIF('Rig 205'!$B:$B,Lists!$A$41,'Rig 205'!$G:$G)</f>
        <v>0</v>
      </c>
      <c r="IH19" s="34">
        <f>SUMIF('Rig 205'!$B:$B,Lists!$A$41,'Rig 205'!$H:$H)</f>
        <v>0</v>
      </c>
      <c r="II19" s="34">
        <f>SUMIF('Rig 205'!$B:$B,Lists!$A$41,'Rig 205'!$I:$I)</f>
        <v>0</v>
      </c>
    </row>
    <row r="20" spans="1:243" ht="19.5" customHeight="1" x14ac:dyDescent="0.3">
      <c r="A20" s="35" t="s">
        <v>91</v>
      </c>
      <c r="B20" s="36">
        <f>'Rig 206'!D2</f>
        <v>46173</v>
      </c>
      <c r="C20" s="37" t="s">
        <v>77</v>
      </c>
      <c r="D20" s="38">
        <f>SUMIF('Rig 206'!$B:$B,Lists!$A$2,'Rig 206'!$C:$C)</f>
        <v>0</v>
      </c>
      <c r="E20" s="38">
        <f>SUMIF('Rig 206'!$B:$B,Lists!$A$2,'Rig 206'!$E:$E)</f>
        <v>0</v>
      </c>
      <c r="F20" s="38">
        <f>SUMIF('Rig 206'!$B:$B,Lists!$A$2,'Rig 206'!$F:$F)</f>
        <v>0</v>
      </c>
      <c r="G20" s="38">
        <f>SUMIF('Rig 206'!$B:$B,Lists!$A$2,'Rig 206'!$G:$G)</f>
        <v>0</v>
      </c>
      <c r="H20" s="38">
        <f>SUMIF('Rig 206'!$B:$B,Lists!$A$2,'Rig 206'!$H:$H)</f>
        <v>0</v>
      </c>
      <c r="I20" s="38">
        <f>SUMIF('Rig 206'!$B:$B,Lists!$A$2,'Rig 206'!$I:$I)</f>
        <v>0</v>
      </c>
      <c r="J20" s="38">
        <f>SUMIF('Rig 206'!$B:$B,Lists!$A$3,'Rig 206'!$C:$C)</f>
        <v>0</v>
      </c>
      <c r="K20" s="38">
        <f>SUMIF('Rig 206'!$B:$B,Lists!$A$3,'Rig 206'!$E:$E)</f>
        <v>0</v>
      </c>
      <c r="L20" s="38">
        <f>SUMIF('Rig 206'!$B:$B,Lists!$A$3,'Rig 206'!$F:$F)</f>
        <v>0</v>
      </c>
      <c r="M20" s="38">
        <f>SUMIF('Rig 206'!$B:$B,Lists!$A$3,'Rig 206'!$G:$G)</f>
        <v>0</v>
      </c>
      <c r="N20" s="38">
        <f>SUMIF('Rig 206'!$B:$B,Lists!$A$3,'Rig 206'!$H:$H)</f>
        <v>0</v>
      </c>
      <c r="O20" s="38">
        <f>SUMIF('Rig 206'!$B:$B,Lists!$A$3,'Rig 206'!$I:$I)</f>
        <v>0</v>
      </c>
      <c r="P20" s="38">
        <f>SUMIF('Rig 206'!$B:$B,Lists!$A$4,'Rig 206'!$C:$C)</f>
        <v>0</v>
      </c>
      <c r="Q20" s="38">
        <f>SUMIF('Rig 206'!$B:$B,Lists!$A$4,'Rig 206'!$E:$E)</f>
        <v>0</v>
      </c>
      <c r="R20" s="38">
        <f>SUMIF('Rig 206'!$B:$B,Lists!$A$4,'Rig 206'!$F:$F)</f>
        <v>0</v>
      </c>
      <c r="S20" s="38">
        <f>SUMIF('Rig 206'!$B:$B,Lists!$A$4,'Rig 206'!$G:$G)</f>
        <v>0</v>
      </c>
      <c r="T20" s="38">
        <f>SUMIF('Rig 206'!$B:$B,Lists!$A$4,'Rig 206'!$H:$H)</f>
        <v>0</v>
      </c>
      <c r="U20" s="38">
        <f>SUMIF('Rig 206'!$B:$B,Lists!$A$4,'Rig 206'!$I:$I)</f>
        <v>0</v>
      </c>
      <c r="V20" s="38">
        <f>SUMIF('Rig 206'!$B:$B,Lists!$A$5,'Rig 206'!$C:$C)</f>
        <v>0</v>
      </c>
      <c r="W20" s="38">
        <f>SUMIF('Rig 206'!$B:$B,Lists!$A$5,'Rig 206'!$E:$E)</f>
        <v>0</v>
      </c>
      <c r="X20" s="38">
        <f>SUMIF('Rig 206'!$B:$B,Lists!$A$5,'Rig 206'!$F:$F)</f>
        <v>0</v>
      </c>
      <c r="Y20" s="38">
        <f>SUMIF('Rig 206'!$B:$B,Lists!$A$5,'Rig 206'!$G:$G)</f>
        <v>0</v>
      </c>
      <c r="Z20" s="38">
        <f>SUMIF('Rig 206'!$B:$B,Lists!$A$5,'Rig 206'!$H:$H)</f>
        <v>0</v>
      </c>
      <c r="AA20" s="38">
        <f>SUMIF('Rig 206'!$B:$B,Lists!$A$5,'Rig 206'!$I:$I)</f>
        <v>0</v>
      </c>
      <c r="AB20" s="38">
        <f>SUMIF('Rig 206'!$B:$B,Lists!$A$6,'Rig 206'!$C:$C)</f>
        <v>0</v>
      </c>
      <c r="AC20" s="38">
        <f>SUMIF('Rig 206'!$B:$B,Lists!$A$6,'Rig 206'!$E:$E)</f>
        <v>0</v>
      </c>
      <c r="AD20" s="38">
        <f>SUMIF('Rig 206'!$B:$B,Lists!$A$6,'Rig 206'!$F:$F)</f>
        <v>0</v>
      </c>
      <c r="AE20" s="38">
        <f>SUMIF('Rig 206'!$B:$B,Lists!$A$6,'Rig 206'!$G:$G)</f>
        <v>0</v>
      </c>
      <c r="AF20" s="38">
        <f>SUMIF('Rig 206'!$B:$B,Lists!$A$6,'Rig 206'!$H:$H)</f>
        <v>0</v>
      </c>
      <c r="AG20" s="38">
        <f>SUMIF('Rig 206'!$B:$B,Lists!$A$6,'Rig 206'!$I:$I)</f>
        <v>0</v>
      </c>
      <c r="AH20" s="38">
        <f>SUMIF('Rig 206'!$B:$B,Lists!$A$7,'Rig 206'!$C:$C)</f>
        <v>0</v>
      </c>
      <c r="AI20" s="38">
        <f>SUMIF('Rig 206'!$B:$B,Lists!$A$7,'Rig 206'!$E:$E)</f>
        <v>0</v>
      </c>
      <c r="AJ20" s="38">
        <f>SUMIF('Rig 206'!$B:$B,Lists!$A$7,'Rig 206'!$F:$F)</f>
        <v>0</v>
      </c>
      <c r="AK20" s="38">
        <f>SUMIF('Rig 206'!$B:$B,Lists!$A$7,'Rig 206'!$G:$G)</f>
        <v>0</v>
      </c>
      <c r="AL20" s="38">
        <f>SUMIF('Rig 206'!$B:$B,Lists!$A$7,'Rig 206'!$H:$H)</f>
        <v>0</v>
      </c>
      <c r="AM20" s="38">
        <f>SUMIF('Rig 206'!$B:$B,Lists!$A$7,'Rig 206'!$I:$I)</f>
        <v>0</v>
      </c>
      <c r="AN20" s="38">
        <f>SUMIF('Rig 206'!$B:$B,Lists!$A$8,'Rig 206'!$C:$C)</f>
        <v>0</v>
      </c>
      <c r="AO20" s="38">
        <f>SUMIF('Rig 206'!$B:$B,Lists!$A$8,'Rig 206'!$E:$E)</f>
        <v>0</v>
      </c>
      <c r="AP20" s="38">
        <f>SUMIF('Rig 206'!$B:$B,Lists!$A$8,'Rig 206'!$F:$F)</f>
        <v>0</v>
      </c>
      <c r="AQ20" s="38">
        <f>SUMIF('Rig 206'!$B:$B,Lists!$A$8,'Rig 206'!$G:$G)</f>
        <v>0</v>
      </c>
      <c r="AR20" s="38">
        <f>SUMIF('Rig 206'!$B:$B,Lists!$A$8,'Rig 206'!$H:$H)</f>
        <v>0</v>
      </c>
      <c r="AS20" s="38">
        <f>SUMIF('Rig 206'!$B:$B,Lists!$A$8,'Rig 206'!$I:$I)</f>
        <v>0</v>
      </c>
      <c r="AT20" s="38">
        <f>SUMIF('Rig 206'!$B:$B,Lists!$A$9,'Rig 206'!$C:$C)</f>
        <v>0</v>
      </c>
      <c r="AU20" s="38">
        <f>SUMIF('Rig 206'!$B:$B,Lists!$A$9,'Rig 206'!$E:$E)</f>
        <v>0</v>
      </c>
      <c r="AV20" s="38">
        <f>SUMIF('Rig 206'!$B:$B,Lists!$A$9,'Rig 206'!$F:$F)</f>
        <v>0</v>
      </c>
      <c r="AW20" s="38">
        <f>SUMIF('Rig 206'!$B:$B,Lists!$A$9,'Rig 206'!$G:$G)</f>
        <v>0</v>
      </c>
      <c r="AX20" s="38">
        <f>SUMIF('Rig 206'!$B:$B,Lists!$A$9,'Rig 206'!$H:$H)</f>
        <v>0</v>
      </c>
      <c r="AY20" s="38">
        <f>SUMIF('Rig 206'!$B:$B,Lists!$A$9,'Rig 206'!$I:$I)</f>
        <v>0</v>
      </c>
      <c r="AZ20" s="38">
        <f>SUMIF('Rig 206'!$B:$B,Lists!$A$10,'Rig 206'!$C:$C)</f>
        <v>0</v>
      </c>
      <c r="BA20" s="38">
        <f>SUMIF('Rig 206'!$B:$B,Lists!$A$10,'Rig 206'!$E:$E)</f>
        <v>0</v>
      </c>
      <c r="BB20" s="38">
        <f>SUMIF('Rig 206'!$B:$B,Lists!$A$10,'Rig 206'!$F:$F)</f>
        <v>0</v>
      </c>
      <c r="BC20" s="38">
        <f>SUMIF('Rig 206'!$B:$B,Lists!$A$10,'Rig 206'!$G:$G)</f>
        <v>0</v>
      </c>
      <c r="BD20" s="38">
        <f>SUMIF('Rig 206'!$B:$B,Lists!$A$10,'Rig 206'!$H:$H)</f>
        <v>0</v>
      </c>
      <c r="BE20" s="38">
        <f>SUMIF('Rig 206'!$B:$B,Lists!$A$10,'Rig 206'!$I:$I)</f>
        <v>0</v>
      </c>
      <c r="BF20" s="38">
        <f>SUMIF('Rig 206'!$B:$B,Lists!$A$11,'Rig 206'!$C:$C)</f>
        <v>0</v>
      </c>
      <c r="BG20" s="38">
        <f>SUMIF('Rig 206'!$B:$B,Lists!$A$11,'Rig 206'!$E:$E)</f>
        <v>0</v>
      </c>
      <c r="BH20" s="38">
        <f>SUMIF('Rig 206'!$B:$B,Lists!$A$11,'Rig 206'!$F:$F)</f>
        <v>0</v>
      </c>
      <c r="BI20" s="38">
        <f>SUMIF('Rig 206'!$B:$B,Lists!$A$11,'Rig 206'!$G:$G)</f>
        <v>0</v>
      </c>
      <c r="BJ20" s="38">
        <f>SUMIF('Rig 206'!$B:$B,Lists!$A$11,'Rig 206'!$H:$H)</f>
        <v>0</v>
      </c>
      <c r="BK20" s="38">
        <f>SUMIF('Rig 206'!$B:$B,Lists!$A$11,'Rig 206'!$I:$I)</f>
        <v>0</v>
      </c>
      <c r="BL20" s="38">
        <f>SUMIF('Rig 206'!$B:$B,Lists!$A$12,'Rig 206'!$C:$C)</f>
        <v>0</v>
      </c>
      <c r="BM20" s="38">
        <f>SUMIF('Rig 206'!$B:$B,Lists!$A$12,'Rig 206'!$E:$E)</f>
        <v>0</v>
      </c>
      <c r="BN20" s="38">
        <f>SUMIF('Rig 206'!$B:$B,Lists!$A$12,'Rig 206'!$F:$F)</f>
        <v>0</v>
      </c>
      <c r="BO20" s="38">
        <f>SUMIF('Rig 206'!$B:$B,Lists!$A$12,'Rig 206'!$G:$G)</f>
        <v>0</v>
      </c>
      <c r="BP20" s="38">
        <f>SUMIF('Rig 206'!$B:$B,Lists!$A$12,'Rig 206'!$H:$H)</f>
        <v>0</v>
      </c>
      <c r="BQ20" s="38">
        <f>SUMIF('Rig 206'!$B:$B,Lists!$A$12,'Rig 206'!$I:$I)</f>
        <v>0</v>
      </c>
      <c r="BR20" s="38">
        <f>SUMIF('Rig 206'!$B:$B,Lists!$A$13,'Rig 206'!$C:$C)</f>
        <v>0</v>
      </c>
      <c r="BS20" s="38">
        <f>SUMIF('Rig 206'!$B:$B,Lists!$A$13,'Rig 206'!$E:$E)</f>
        <v>0</v>
      </c>
      <c r="BT20" s="38">
        <f>SUMIF('Rig 206'!$B:$B,Lists!$A$13,'Rig 206'!$F:$F)</f>
        <v>0</v>
      </c>
      <c r="BU20" s="38">
        <f>SUMIF('Rig 206'!$B:$B,Lists!$A$13,'Rig 206'!$G:$G)</f>
        <v>0</v>
      </c>
      <c r="BV20" s="38">
        <f>SUMIF('Rig 206'!$B:$B,Lists!$A$13,'Rig 206'!$H:$H)</f>
        <v>0</v>
      </c>
      <c r="BW20" s="38">
        <f>SUMIF('Rig 206'!$B:$B,Lists!$A$13,'Rig 206'!$I:$I)</f>
        <v>0</v>
      </c>
      <c r="BX20" s="38">
        <f>SUMIF('Rig 206'!$B:$B,Lists!$A$14,'Rig 206'!$C:$C)</f>
        <v>0</v>
      </c>
      <c r="BY20" s="38">
        <f>SUMIF('Rig 206'!$B:$B,Lists!$A$14,'Rig 206'!$E:$E)</f>
        <v>0</v>
      </c>
      <c r="BZ20" s="38">
        <f>SUMIF('Rig 206'!$B:$B,Lists!$A$14,'Rig 206'!$F:$F)</f>
        <v>0</v>
      </c>
      <c r="CA20" s="38">
        <f>SUMIF('Rig 206'!$B:$B,Lists!$A$14,'Rig 206'!$G:$G)</f>
        <v>0</v>
      </c>
      <c r="CB20" s="38">
        <f>SUMIF('Rig 206'!$B:$B,Lists!$A$14,'Rig 206'!$H:$H)</f>
        <v>0</v>
      </c>
      <c r="CC20" s="38">
        <f>SUMIF('Rig 206'!$B:$B,Lists!$A$14,'Rig 206'!$I:$I)</f>
        <v>0</v>
      </c>
      <c r="CD20" s="38">
        <f>SUMIF('Rig 206'!$B:$B,Lists!$A$15,'Rig 206'!$C:$C)</f>
        <v>0</v>
      </c>
      <c r="CE20" s="38">
        <f>SUMIF('Rig 206'!$B:$B,Lists!$A$15,'Rig 206'!$E:$E)</f>
        <v>0</v>
      </c>
      <c r="CF20" s="38">
        <f>SUMIF('Rig 206'!$B:$B,Lists!$A$15,'Rig 206'!$F:$F)</f>
        <v>0</v>
      </c>
      <c r="CG20" s="38">
        <f>SUMIF('Rig 206'!$B:$B,Lists!$A$15,'Rig 206'!$G:$G)</f>
        <v>0</v>
      </c>
      <c r="CH20" s="38">
        <f>SUMIF('Rig 206'!$B:$B,Lists!$A$15,'Rig 206'!$H:$H)</f>
        <v>0</v>
      </c>
      <c r="CI20" s="38">
        <f>SUMIF('Rig 206'!$B:$B,Lists!$A$15,'Rig 206'!$I:$I)</f>
        <v>0</v>
      </c>
      <c r="CJ20" s="38">
        <f>SUMIF('Rig 206'!$B:$B,Lists!$A$16,'Rig 206'!$C:$C)</f>
        <v>0</v>
      </c>
      <c r="CK20" s="38">
        <f>SUMIF('Rig 206'!$B:$B,Lists!$A$16,'Rig 206'!$E:$E)</f>
        <v>0</v>
      </c>
      <c r="CL20" s="38">
        <f>SUMIF('Rig 206'!$B:$B,Lists!$A$16,'Rig 206'!$F:$F)</f>
        <v>0</v>
      </c>
      <c r="CM20" s="38">
        <f>SUMIF('Rig 206'!$B:$B,Lists!$A$16,'Rig 206'!$G:$G)</f>
        <v>0</v>
      </c>
      <c r="CN20" s="38">
        <f>SUMIF('Rig 206'!$B:$B,Lists!$A$16,'Rig 206'!$H:$H)</f>
        <v>0</v>
      </c>
      <c r="CO20" s="38">
        <f>SUMIF('Rig 206'!$B:$B,Lists!$A$16,'Rig 206'!$I:$I)</f>
        <v>0</v>
      </c>
      <c r="CP20" s="38">
        <f>SUMIF('Rig 206'!$B:$B,Lists!$A$17,'Rig 206'!$C:$C)</f>
        <v>0</v>
      </c>
      <c r="CQ20" s="38">
        <f>SUMIF('Rig 206'!$B:$B,Lists!$A$17,'Rig 206'!$E:$E)</f>
        <v>0</v>
      </c>
      <c r="CR20" s="38">
        <f>SUMIF('Rig 206'!$B:$B,Lists!$A$17,'Rig 206'!$F:$F)</f>
        <v>0</v>
      </c>
      <c r="CS20" s="38">
        <f>SUMIF('Rig 206'!$B:$B,Lists!$A$17,'Rig 206'!$G:$G)</f>
        <v>0</v>
      </c>
      <c r="CT20" s="38">
        <f>SUMIF('Rig 206'!$B:$B,Lists!$A$17,'Rig 206'!$H:$H)</f>
        <v>0</v>
      </c>
      <c r="CU20" s="38">
        <f>SUMIF('Rig 206'!$B:$B,Lists!$A$17,'Rig 206'!$I:$I)</f>
        <v>0</v>
      </c>
      <c r="CV20" s="38">
        <f>SUMIF('Rig 206'!$B:$B,Lists!$A$18,'Rig 206'!$C:$C)</f>
        <v>0</v>
      </c>
      <c r="CW20" s="38">
        <f>SUMIF('Rig 206'!$B:$B,Lists!$A$18,'Rig 206'!$E:$E)</f>
        <v>0</v>
      </c>
      <c r="CX20" s="38">
        <f>SUMIF('Rig 206'!$B:$B,Lists!$A$18,'Rig 206'!$F:$F)</f>
        <v>0</v>
      </c>
      <c r="CY20" s="38">
        <f>SUMIF('Rig 206'!$B:$B,Lists!$A$18,'Rig 206'!$G:$G)</f>
        <v>0</v>
      </c>
      <c r="CZ20" s="38">
        <f>SUMIF('Rig 206'!$B:$B,Lists!$A$18,'Rig 206'!$H:$H)</f>
        <v>0</v>
      </c>
      <c r="DA20" s="38">
        <f>SUMIF('Rig 206'!$B:$B,Lists!$A$18,'Rig 206'!$I:$I)</f>
        <v>0</v>
      </c>
      <c r="DB20" s="38">
        <f>SUMIF('Rig 206'!$B:$B,Lists!$A$19,'Rig 206'!$C:$C)</f>
        <v>0</v>
      </c>
      <c r="DC20" s="38">
        <f>SUMIF('Rig 206'!$B:$B,Lists!$A$19,'Rig 206'!$E:$E)</f>
        <v>0</v>
      </c>
      <c r="DD20" s="38">
        <f>SUMIF('Rig 206'!$B:$B,Lists!$A$19,'Rig 206'!$F:$F)</f>
        <v>0</v>
      </c>
      <c r="DE20" s="38">
        <f>SUMIF('Rig 206'!$B:$B,Lists!$A$19,'Rig 206'!$G:$G)</f>
        <v>0</v>
      </c>
      <c r="DF20" s="38">
        <f>SUMIF('Rig 206'!$B:$B,Lists!$A$19,'Rig 206'!$H:$H)</f>
        <v>0</v>
      </c>
      <c r="DG20" s="38">
        <f>SUMIF('Rig 206'!$B:$B,Lists!$A$19,'Rig 206'!$I:$I)</f>
        <v>0</v>
      </c>
      <c r="DH20" s="38">
        <f>SUMIF('Rig 206'!$B:$B,Lists!$A$20,'Rig 206'!$C:$C)</f>
        <v>0</v>
      </c>
      <c r="DI20" s="38">
        <f>SUMIF('Rig 206'!$B:$B,Lists!$A$20,'Rig 206'!$E:$E)</f>
        <v>0</v>
      </c>
      <c r="DJ20" s="38">
        <f>SUMIF('Rig 206'!$B:$B,Lists!$A$20,'Rig 206'!$F:$F)</f>
        <v>0</v>
      </c>
      <c r="DK20" s="38">
        <f>SUMIF('Rig 206'!$B:$B,Lists!$A$20,'Rig 206'!$G:$G)</f>
        <v>0</v>
      </c>
      <c r="DL20" s="38">
        <f>SUMIF('Rig 206'!$B:$B,Lists!$A$20,'Rig 206'!$H:$H)</f>
        <v>0</v>
      </c>
      <c r="DM20" s="38">
        <f>SUMIF('Rig 206'!$B:$B,Lists!$A$20,'Rig 206'!$I:$I)</f>
        <v>0</v>
      </c>
      <c r="DN20" s="38">
        <f>SUMIF('Rig 206'!$B:$B,Lists!$A$21,'Rig 206'!$C:$C)</f>
        <v>0</v>
      </c>
      <c r="DO20" s="38">
        <f>SUMIF('Rig 206'!$B:$B,Lists!$A$21,'Rig 206'!$E:$E)</f>
        <v>0</v>
      </c>
      <c r="DP20" s="38">
        <f>SUMIF('Rig 206'!$B:$B,Lists!$A$21,'Rig 206'!$F:$F)</f>
        <v>0</v>
      </c>
      <c r="DQ20" s="38">
        <f>SUMIF('Rig 206'!$B:$B,Lists!$A$21,'Rig 206'!$G:$G)</f>
        <v>0</v>
      </c>
      <c r="DR20" s="38">
        <f>SUMIF('Rig 206'!$B:$B,Lists!$A$21,'Rig 206'!$H:$H)</f>
        <v>0</v>
      </c>
      <c r="DS20" s="38">
        <f>SUMIF('Rig 206'!$B:$B,Lists!$A$21,'Rig 206'!$I:$I)</f>
        <v>0</v>
      </c>
      <c r="DT20" s="38">
        <f>SUMIF('Rig 206'!$B:$B,Lists!$A$22,'Rig 206'!$C:$C)</f>
        <v>0</v>
      </c>
      <c r="DU20" s="38">
        <f>SUMIF('Rig 206'!$B:$B,Lists!$A$22,'Rig 206'!$E:$E)</f>
        <v>0</v>
      </c>
      <c r="DV20" s="38">
        <f>SUMIF('Rig 206'!$B:$B,Lists!$A$22,'Rig 206'!$F:$F)</f>
        <v>0</v>
      </c>
      <c r="DW20" s="38">
        <f>SUMIF('Rig 206'!$B:$B,Lists!$A$22,'Rig 206'!$G:$G)</f>
        <v>0</v>
      </c>
      <c r="DX20" s="38">
        <f>SUMIF('Rig 206'!$B:$B,Lists!$A$22,'Rig 206'!$H:$H)</f>
        <v>0</v>
      </c>
      <c r="DY20" s="38">
        <f>SUMIF('Rig 206'!$B:$B,Lists!$A$22,'Rig 206'!$I:$I)</f>
        <v>0</v>
      </c>
      <c r="DZ20" s="38">
        <f>SUMIF('Rig 206'!$B:$B,Lists!$A$23,'Rig 206'!$C:$C)</f>
        <v>0</v>
      </c>
      <c r="EA20" s="38">
        <f>SUMIF('Rig 206'!$B:$B,Lists!$A$23,'Rig 206'!$E:$E)</f>
        <v>0</v>
      </c>
      <c r="EB20" s="38">
        <f>SUMIF('Rig 206'!$B:$B,Lists!$A$23,'Rig 206'!$F:$F)</f>
        <v>0</v>
      </c>
      <c r="EC20" s="38">
        <f>SUMIF('Rig 206'!$B:$B,Lists!$A$23,'Rig 206'!$G:$G)</f>
        <v>0</v>
      </c>
      <c r="ED20" s="38">
        <f>SUMIF('Rig 206'!$B:$B,Lists!$A$23,'Rig 206'!$H:$H)</f>
        <v>0</v>
      </c>
      <c r="EE20" s="38">
        <f>SUMIF('Rig 206'!$B:$B,Lists!$A$23,'Rig 206'!$I:$I)</f>
        <v>0</v>
      </c>
      <c r="EF20" s="38">
        <f>SUMIF('Rig 206'!$B:$B,Lists!$A$24,'Rig 206'!$C:$C)</f>
        <v>0</v>
      </c>
      <c r="EG20" s="38">
        <f>SUMIF('Rig 206'!$B:$B,Lists!$A$24,'Rig 206'!$E:$E)</f>
        <v>0</v>
      </c>
      <c r="EH20" s="38">
        <f>SUMIF('Rig 206'!$B:$B,Lists!$A$24,'Rig 206'!$F:$F)</f>
        <v>0</v>
      </c>
      <c r="EI20" s="38">
        <f>SUMIF('Rig 206'!$B:$B,Lists!$A$24,'Rig 206'!$G:$G)</f>
        <v>0</v>
      </c>
      <c r="EJ20" s="38">
        <f>SUMIF('Rig 206'!$B:$B,Lists!$A$24,'Rig 206'!$H:$H)</f>
        <v>0</v>
      </c>
      <c r="EK20" s="38">
        <f>SUMIF('Rig 206'!$B:$B,Lists!$A$24,'Rig 206'!$I:$I)</f>
        <v>0</v>
      </c>
      <c r="EL20" s="38">
        <f>SUMIF('Rig 206'!$B:$B,Lists!$A$25,'Rig 206'!$C:$C)</f>
        <v>0</v>
      </c>
      <c r="EM20" s="38">
        <f>SUMIF('Rig 206'!$B:$B,Lists!$A$25,'Rig 206'!$E:$E)</f>
        <v>0</v>
      </c>
      <c r="EN20" s="38">
        <f>SUMIF('Rig 206'!$B:$B,Lists!$A$25,'Rig 206'!$F:$F)</f>
        <v>0</v>
      </c>
      <c r="EO20" s="38">
        <f>SUMIF('Rig 206'!$B:$B,Lists!$A$25,'Rig 206'!$G:$G)</f>
        <v>0</v>
      </c>
      <c r="EP20" s="38">
        <f>SUMIF('Rig 206'!$B:$B,Lists!$A$25,'Rig 206'!$H:$H)</f>
        <v>0</v>
      </c>
      <c r="EQ20" s="38">
        <f>SUMIF('Rig 206'!$B:$B,Lists!$A$25,'Rig 206'!$I:$I)</f>
        <v>0</v>
      </c>
      <c r="ER20" s="38">
        <f>SUMIF('Rig 206'!$B:$B,Lists!$A$26,'Rig 206'!$C:$C)</f>
        <v>0</v>
      </c>
      <c r="ES20" s="38">
        <f>SUMIF('Rig 206'!$B:$B,Lists!$A$26,'Rig 206'!$E:$E)</f>
        <v>0</v>
      </c>
      <c r="ET20" s="38">
        <f>SUMIF('Rig 206'!$B:$B,Lists!$A$26,'Rig 206'!$F:$F)</f>
        <v>0</v>
      </c>
      <c r="EU20" s="38">
        <f>SUMIF('Rig 206'!$B:$B,Lists!$A$26,'Rig 206'!$G:$G)</f>
        <v>0</v>
      </c>
      <c r="EV20" s="38">
        <f>SUMIF('Rig 206'!$B:$B,Lists!$A$26,'Rig 206'!$H:$H)</f>
        <v>0</v>
      </c>
      <c r="EW20" s="38">
        <f>SUMIF('Rig 206'!$B:$B,Lists!$A$26,'Rig 206'!$I:$I)</f>
        <v>0</v>
      </c>
      <c r="EX20" s="38">
        <f>SUMIF('Rig 206'!$B:$B,Lists!$A$27,'Rig 206'!$C:$C)</f>
        <v>0</v>
      </c>
      <c r="EY20" s="38">
        <f>SUMIF('Rig 206'!$B:$B,Lists!$A$27,'Rig 206'!$E:$E)</f>
        <v>0</v>
      </c>
      <c r="EZ20" s="38">
        <f>SUMIF('Rig 206'!$B:$B,Lists!$A$27,'Rig 206'!$F:$F)</f>
        <v>0</v>
      </c>
      <c r="FA20" s="38">
        <f>SUMIF('Rig 206'!$B:$B,Lists!$A$27,'Rig 206'!$G:$G)</f>
        <v>0</v>
      </c>
      <c r="FB20" s="38">
        <f>SUMIF('Rig 206'!$B:$B,Lists!$A$27,'Rig 206'!$H:$H)</f>
        <v>0</v>
      </c>
      <c r="FC20" s="38">
        <f>SUMIF('Rig 206'!$B:$B,Lists!$A$27,'Rig 206'!$I:$I)</f>
        <v>0</v>
      </c>
      <c r="FD20" s="38">
        <f>SUMIF('Rig 206'!$B:$B,Lists!$A$28,'Rig 206'!$C:$C)</f>
        <v>0</v>
      </c>
      <c r="FE20" s="38">
        <f>SUMIF('Rig 206'!$B:$B,Lists!$A$28,'Rig 206'!$E:$E)</f>
        <v>0</v>
      </c>
      <c r="FF20" s="38">
        <f>SUMIF('Rig 206'!$B:$B,Lists!$A$28,'Rig 206'!$F:$F)</f>
        <v>0</v>
      </c>
      <c r="FG20" s="38">
        <f>SUMIF('Rig 206'!$B:$B,Lists!$A$28,'Rig 206'!$G:$G)</f>
        <v>0</v>
      </c>
      <c r="FH20" s="38">
        <f>SUMIF('Rig 206'!$B:$B,Lists!$A$28,'Rig 206'!$H:$H)</f>
        <v>0</v>
      </c>
      <c r="FI20" s="38">
        <f>SUMIF('Rig 206'!$B:$B,Lists!$A$28,'Rig 206'!$I:$I)</f>
        <v>0</v>
      </c>
      <c r="FJ20" s="38">
        <f>SUMIF('Rig 206'!$B:$B,Lists!$A$29,'Rig 206'!$C:$C)</f>
        <v>0</v>
      </c>
      <c r="FK20" s="38">
        <f>SUMIF('Rig 206'!$B:$B,Lists!$A$29,'Rig 206'!$E:$E)</f>
        <v>0</v>
      </c>
      <c r="FL20" s="38">
        <f>SUMIF('Rig 206'!$B:$B,Lists!$A$29,'Rig 206'!$F:$F)</f>
        <v>0</v>
      </c>
      <c r="FM20" s="38">
        <f>SUMIF('Rig 206'!$B:$B,Lists!$A$29,'Rig 206'!$G:$G)</f>
        <v>0</v>
      </c>
      <c r="FN20" s="38">
        <f>SUMIF('Rig 206'!$B:$B,Lists!$A$29,'Rig 206'!$H:$H)</f>
        <v>0</v>
      </c>
      <c r="FO20" s="38">
        <f>SUMIF('Rig 206'!$B:$B,Lists!$A$29,'Rig 206'!$I:$I)</f>
        <v>0</v>
      </c>
      <c r="FP20" s="38">
        <f>SUMIF('Rig 206'!$B:$B,Lists!$A$30,'Rig 206'!$C:$C)</f>
        <v>0</v>
      </c>
      <c r="FQ20" s="38">
        <f>SUMIF('Rig 206'!$B:$B,Lists!$A$30,'Rig 206'!$E:$E)</f>
        <v>0</v>
      </c>
      <c r="FR20" s="38">
        <f>SUMIF('Rig 206'!$B:$B,Lists!$A$30,'Rig 206'!$F:$F)</f>
        <v>0</v>
      </c>
      <c r="FS20" s="38">
        <f>SUMIF('Rig 206'!$B:$B,Lists!$A$30,'Rig 206'!$G:$G)</f>
        <v>0</v>
      </c>
      <c r="FT20" s="38">
        <f>SUMIF('Rig 206'!$B:$B,Lists!$A$30,'Rig 206'!$H:$H)</f>
        <v>0</v>
      </c>
      <c r="FU20" s="38">
        <f>SUMIF('Rig 206'!$B:$B,Lists!$A$30,'Rig 206'!$I:$I)</f>
        <v>0</v>
      </c>
      <c r="FV20" s="38">
        <f>SUMIF('Rig 206'!$B:$B,Lists!$A$31,'Rig 206'!$C:$C)</f>
        <v>0</v>
      </c>
      <c r="FW20" s="38">
        <f>SUMIF('Rig 206'!$B:$B,Lists!$A$31,'Rig 206'!$E:$E)</f>
        <v>0</v>
      </c>
      <c r="FX20" s="38">
        <f>SUMIF('Rig 206'!$B:$B,Lists!$A$31,'Rig 206'!$F:$F)</f>
        <v>0</v>
      </c>
      <c r="FY20" s="38">
        <f>SUMIF('Rig 206'!$B:$B,Lists!$A$31,'Rig 206'!$G:$G)</f>
        <v>0</v>
      </c>
      <c r="FZ20" s="38">
        <f>SUMIF('Rig 206'!$B:$B,Lists!$A$31,'Rig 206'!$H:$H)</f>
        <v>0</v>
      </c>
      <c r="GA20" s="38">
        <f>SUMIF('Rig 206'!$B:$B,Lists!$A$31,'Rig 206'!$I:$I)</f>
        <v>0</v>
      </c>
      <c r="GB20" s="38">
        <f>SUMIF('Rig 206'!$B:$B,Lists!$A$32,'Rig 206'!$C:$C)</f>
        <v>0</v>
      </c>
      <c r="GC20" s="38">
        <f>SUMIF('Rig 206'!$B:$B,Lists!$A$32,'Rig 206'!$E:$E)</f>
        <v>0</v>
      </c>
      <c r="GD20" s="38">
        <f>SUMIF('Rig 206'!$B:$B,Lists!$A$32,'Rig 206'!$F:$F)</f>
        <v>0</v>
      </c>
      <c r="GE20" s="38">
        <f>SUMIF('Rig 206'!$B:$B,Lists!$A$32,'Rig 206'!$G:$G)</f>
        <v>0</v>
      </c>
      <c r="GF20" s="38">
        <f>SUMIF('Rig 206'!$B:$B,Lists!$A$32,'Rig 206'!$H:$H)</f>
        <v>0</v>
      </c>
      <c r="GG20" s="38">
        <f>SUMIF('Rig 206'!$B:$B,Lists!$A$32,'Rig 206'!$I:$I)</f>
        <v>0</v>
      </c>
      <c r="GH20" s="38">
        <f>SUMIF('Rig 206'!$B:$B,Lists!$A$33,'Rig 206'!$C:$C)</f>
        <v>0</v>
      </c>
      <c r="GI20" s="38">
        <f>SUMIF('Rig 206'!$B:$B,Lists!$A$33,'Rig 206'!$E:$E)</f>
        <v>0</v>
      </c>
      <c r="GJ20" s="38">
        <f>SUMIF('Rig 206'!$B:$B,Lists!$A$33,'Rig 206'!$F:$F)</f>
        <v>0</v>
      </c>
      <c r="GK20" s="38">
        <f>SUMIF('Rig 206'!$B:$B,Lists!$A$33,'Rig 206'!$G:$G)</f>
        <v>0</v>
      </c>
      <c r="GL20" s="38">
        <f>SUMIF('Rig 206'!$B:$B,Lists!$A$33,'Rig 206'!$H:$H)</f>
        <v>0</v>
      </c>
      <c r="GM20" s="38">
        <f>SUMIF('Rig 206'!$B:$B,Lists!$A$33,'Rig 206'!$I:$I)</f>
        <v>0</v>
      </c>
      <c r="GN20" s="38">
        <f>SUMIF('Rig 206'!$B:$B,Lists!$A$34,'Rig 206'!$C:$C)</f>
        <v>0</v>
      </c>
      <c r="GO20" s="38">
        <f>SUMIF('Rig 206'!$B:$B,Lists!$A$34,'Rig 206'!$E:$E)</f>
        <v>0</v>
      </c>
      <c r="GP20" s="38">
        <f>SUMIF('Rig 206'!$B:$B,Lists!$A$34,'Rig 206'!$F:$F)</f>
        <v>0</v>
      </c>
      <c r="GQ20" s="38">
        <f>SUMIF('Rig 206'!$B:$B,Lists!$A$34,'Rig 206'!$G:$G)</f>
        <v>0</v>
      </c>
      <c r="GR20" s="38">
        <f>SUMIF('Rig 206'!$B:$B,Lists!$A$34,'Rig 206'!$H:$H)</f>
        <v>0</v>
      </c>
      <c r="GS20" s="38">
        <f>SUMIF('Rig 206'!$B:$B,Lists!$A$34,'Rig 206'!$I:$I)</f>
        <v>0</v>
      </c>
      <c r="GT20" s="38">
        <f>SUMIF('Rig 206'!$B:$B,Lists!$A$35,'Rig 206'!$C:$C)</f>
        <v>0</v>
      </c>
      <c r="GU20" s="38">
        <f>SUMIF('Rig 206'!$B:$B,Lists!$A$35,'Rig 206'!$E:$E)</f>
        <v>0</v>
      </c>
      <c r="GV20" s="38">
        <f>SUMIF('Rig 206'!$B:$B,Lists!$A$35,'Rig 206'!$F:$F)</f>
        <v>0</v>
      </c>
      <c r="GW20" s="38">
        <f>SUMIF('Rig 206'!$B:$B,Lists!$A$35,'Rig 206'!$G:$G)</f>
        <v>0</v>
      </c>
      <c r="GX20" s="38">
        <f>SUMIF('Rig 206'!$B:$B,Lists!$A$35,'Rig 206'!$H:$H)</f>
        <v>0</v>
      </c>
      <c r="GY20" s="38">
        <f>SUMIF('Rig 206'!$B:$B,Lists!$A$35,'Rig 206'!$I:$I)</f>
        <v>0</v>
      </c>
      <c r="GZ20" s="38">
        <f>SUMIF('Rig 206'!$B:$B,Lists!$A$36,'Rig 206'!$C:$C)</f>
        <v>0</v>
      </c>
      <c r="HA20" s="38">
        <f>SUMIF('Rig 206'!$B:$B,Lists!$A$36,'Rig 206'!$E:$E)</f>
        <v>0</v>
      </c>
      <c r="HB20" s="38">
        <f>SUMIF('Rig 206'!$B:$B,Lists!$A$36,'Rig 206'!$F:$F)</f>
        <v>0</v>
      </c>
      <c r="HC20" s="38">
        <f>SUMIF('Rig 206'!$B:$B,Lists!$A$36,'Rig 206'!$G:$G)</f>
        <v>0</v>
      </c>
      <c r="HD20" s="38">
        <f>SUMIF('Rig 206'!$B:$B,Lists!$A$36,'Rig 206'!$H:$H)</f>
        <v>0</v>
      </c>
      <c r="HE20" s="38">
        <f>SUMIF('Rig 206'!$B:$B,Lists!$A$36,'Rig 206'!$I:$I)</f>
        <v>0</v>
      </c>
      <c r="HF20" s="38">
        <f>SUMIF('Rig 206'!$B:$B,Lists!$A$37,'Rig 206'!$C:$C)</f>
        <v>0</v>
      </c>
      <c r="HG20" s="38">
        <f>SUMIF('Rig 206'!$B:$B,Lists!$A$37,'Rig 206'!$E:$E)</f>
        <v>0</v>
      </c>
      <c r="HH20" s="38">
        <f>SUMIF('Rig 206'!$B:$B,Lists!$A$37,'Rig 206'!$F:$F)</f>
        <v>0</v>
      </c>
      <c r="HI20" s="38">
        <f>SUMIF('Rig 206'!$B:$B,Lists!$A$37,'Rig 206'!$G:$G)</f>
        <v>0</v>
      </c>
      <c r="HJ20" s="38">
        <f>SUMIF('Rig 206'!$B:$B,Lists!$A$37,'Rig 206'!$H:$H)</f>
        <v>0</v>
      </c>
      <c r="HK20" s="38">
        <f>SUMIF('Rig 206'!$B:$B,Lists!$A$37,'Rig 206'!$I:$I)</f>
        <v>0</v>
      </c>
      <c r="HL20" s="38">
        <f>SUMIF('Rig 206'!$B:$B,Lists!$A$38,'Rig 206'!$C:$C)</f>
        <v>0</v>
      </c>
      <c r="HM20" s="38">
        <f>SUMIF('Rig 206'!$B:$B,Lists!$A$38,'Rig 206'!$E:$E)</f>
        <v>0</v>
      </c>
      <c r="HN20" s="38">
        <f>SUMIF('Rig 206'!$B:$B,Lists!$A$38,'Rig 206'!$F:$F)</f>
        <v>0</v>
      </c>
      <c r="HO20" s="38">
        <f>SUMIF('Rig 206'!$B:$B,Lists!$A$38,'Rig 206'!$G:$G)</f>
        <v>0</v>
      </c>
      <c r="HP20" s="38">
        <f>SUMIF('Rig 206'!$B:$B,Lists!$A$38,'Rig 206'!$H:$H)</f>
        <v>0</v>
      </c>
      <c r="HQ20" s="38">
        <f>SUMIF('Rig 206'!$B:$B,Lists!$A$38,'Rig 206'!$I:$I)</f>
        <v>0</v>
      </c>
      <c r="HR20" s="38">
        <f>SUMIF('Rig 206'!$B:$B,Lists!$A$39,'Rig 206'!$C:$C)</f>
        <v>0</v>
      </c>
      <c r="HS20" s="38">
        <f>SUMIF('Rig 206'!$B:$B,Lists!$A$39,'Rig 206'!$E:$E)</f>
        <v>0</v>
      </c>
      <c r="HT20" s="38">
        <f>SUMIF('Rig 206'!$B:$B,Lists!$A$39,'Rig 206'!$F:$F)</f>
        <v>0</v>
      </c>
      <c r="HU20" s="38">
        <f>SUMIF('Rig 206'!$B:$B,Lists!$A$39,'Rig 206'!$G:$G)</f>
        <v>0</v>
      </c>
      <c r="HV20" s="38">
        <f>SUMIF('Rig 206'!$B:$B,Lists!$A$39,'Rig 206'!$H:$H)</f>
        <v>0</v>
      </c>
      <c r="HW20" s="38">
        <f>SUMIF('Rig 206'!$B:$B,Lists!$A$39,'Rig 206'!$I:$I)</f>
        <v>0</v>
      </c>
      <c r="HX20" s="38">
        <f>SUMIF('Rig 206'!$B:$B,Lists!$A$40,'Rig 206'!$C:$C)</f>
        <v>0</v>
      </c>
      <c r="HY20" s="38">
        <f>SUMIF('Rig 206'!$B:$B,Lists!$A$40,'Rig 206'!$E:$E)</f>
        <v>0</v>
      </c>
      <c r="HZ20" s="38">
        <f>SUMIF('Rig 206'!$B:$B,Lists!$A$40,'Rig 206'!$F:$F)</f>
        <v>0</v>
      </c>
      <c r="IA20" s="38">
        <f>SUMIF('Rig 206'!$B:$B,Lists!$A$40,'Rig 206'!$G:$G)</f>
        <v>0</v>
      </c>
      <c r="IB20" s="38">
        <f>SUMIF('Rig 206'!$B:$B,Lists!$A$40,'Rig 206'!$H:$H)</f>
        <v>0</v>
      </c>
      <c r="IC20" s="38">
        <f>SUMIF('Rig 206'!$B:$B,Lists!$A$40,'Rig 206'!$I:$I)</f>
        <v>0</v>
      </c>
      <c r="ID20" s="38">
        <f>SUMIF('Rig 206'!$B:$B,Lists!$A$41,'Rig 206'!$C:$C)</f>
        <v>0</v>
      </c>
      <c r="IE20" s="38">
        <f>SUMIF('Rig 206'!$B:$B,Lists!$A$41,'Rig 206'!$E:$E)</f>
        <v>0</v>
      </c>
      <c r="IF20" s="38">
        <f>SUMIF('Rig 206'!$B:$B,Lists!$A$41,'Rig 206'!$F:$F)</f>
        <v>0</v>
      </c>
      <c r="IG20" s="38">
        <f>SUMIF('Rig 206'!$B:$B,Lists!$A$41,'Rig 206'!$G:$G)</f>
        <v>0</v>
      </c>
      <c r="IH20" s="38">
        <f>SUMIF('Rig 206'!$B:$B,Lists!$A$41,'Rig 206'!$H:$H)</f>
        <v>0</v>
      </c>
      <c r="II20" s="38">
        <f>SUMIF('Rig 206'!$B:$B,Lists!$A$41,'Rig 206'!$I:$I)</f>
        <v>0</v>
      </c>
    </row>
    <row r="21" spans="1:243" ht="19.5" customHeight="1" x14ac:dyDescent="0.3">
      <c r="A21" s="31" t="s">
        <v>92</v>
      </c>
      <c r="B21" s="32">
        <f>'Rig 207'!D2</f>
        <v>46143</v>
      </c>
      <c r="C21" s="33" t="s">
        <v>77</v>
      </c>
      <c r="D21" s="34">
        <f>SUMIF('Rig 207'!$B:$B,Lists!$A$2,'Rig 207'!$C:$C)</f>
        <v>0</v>
      </c>
      <c r="E21" s="34">
        <f>SUMIF('Rig 207'!$B:$B,Lists!$A$2,'Rig 207'!$E:$E)</f>
        <v>0</v>
      </c>
      <c r="F21" s="34">
        <f>SUMIF('Rig 207'!$B:$B,Lists!$A$2,'Rig 207'!$F:$F)</f>
        <v>0</v>
      </c>
      <c r="G21" s="34">
        <f>SUMIF('Rig 207'!$B:$B,Lists!$A$2,'Rig 207'!$G:$G)</f>
        <v>0</v>
      </c>
      <c r="H21" s="34">
        <f>SUMIF('Rig 207'!$B:$B,Lists!$A$2,'Rig 207'!$H:$H)</f>
        <v>0</v>
      </c>
      <c r="I21" s="34">
        <f>SUMIF('Rig 207'!$B:$B,Lists!$A$2,'Rig 207'!$I:$I)</f>
        <v>0</v>
      </c>
      <c r="J21" s="34">
        <f>SUMIF('Rig 207'!$B:$B,Lists!$A$3,'Rig 207'!$C:$C)</f>
        <v>0</v>
      </c>
      <c r="K21" s="34">
        <f>SUMIF('Rig 207'!$B:$B,Lists!$A$3,'Rig 207'!$E:$E)</f>
        <v>0</v>
      </c>
      <c r="L21" s="34">
        <f>SUMIF('Rig 207'!$B:$B,Lists!$A$3,'Rig 207'!$F:$F)</f>
        <v>0</v>
      </c>
      <c r="M21" s="34">
        <f>SUMIF('Rig 207'!$B:$B,Lists!$A$3,'Rig 207'!$G:$G)</f>
        <v>0</v>
      </c>
      <c r="N21" s="34">
        <f>SUMIF('Rig 207'!$B:$B,Lists!$A$3,'Rig 207'!$H:$H)</f>
        <v>0</v>
      </c>
      <c r="O21" s="34">
        <f>SUMIF('Rig 207'!$B:$B,Lists!$A$3,'Rig 207'!$I:$I)</f>
        <v>0</v>
      </c>
      <c r="P21" s="34">
        <f>SUMIF('Rig 207'!$B:$B,Lists!$A$4,'Rig 207'!$C:$C)</f>
        <v>0</v>
      </c>
      <c r="Q21" s="34">
        <f>SUMIF('Rig 207'!$B:$B,Lists!$A$4,'Rig 207'!$E:$E)</f>
        <v>0</v>
      </c>
      <c r="R21" s="34">
        <f>SUMIF('Rig 207'!$B:$B,Lists!$A$4,'Rig 207'!$F:$F)</f>
        <v>0</v>
      </c>
      <c r="S21" s="34">
        <f>SUMIF('Rig 207'!$B:$B,Lists!$A$4,'Rig 207'!$G:$G)</f>
        <v>0</v>
      </c>
      <c r="T21" s="34">
        <f>SUMIF('Rig 207'!$B:$B,Lists!$A$4,'Rig 207'!$H:$H)</f>
        <v>0</v>
      </c>
      <c r="U21" s="34">
        <f>SUMIF('Rig 207'!$B:$B,Lists!$A$4,'Rig 207'!$I:$I)</f>
        <v>0</v>
      </c>
      <c r="V21" s="34">
        <f>SUMIF('Rig 207'!$B:$B,Lists!$A$5,'Rig 207'!$C:$C)</f>
        <v>0</v>
      </c>
      <c r="W21" s="34">
        <f>SUMIF('Rig 207'!$B:$B,Lists!$A$5,'Rig 207'!$E:$E)</f>
        <v>0</v>
      </c>
      <c r="X21" s="34">
        <f>SUMIF('Rig 207'!$B:$B,Lists!$A$5,'Rig 207'!$F:$F)</f>
        <v>0</v>
      </c>
      <c r="Y21" s="34">
        <f>SUMIF('Rig 207'!$B:$B,Lists!$A$5,'Rig 207'!$G:$G)</f>
        <v>0</v>
      </c>
      <c r="Z21" s="34">
        <f>SUMIF('Rig 207'!$B:$B,Lists!$A$5,'Rig 207'!$H:$H)</f>
        <v>0</v>
      </c>
      <c r="AA21" s="34">
        <f>SUMIF('Rig 207'!$B:$B,Lists!$A$5,'Rig 207'!$I:$I)</f>
        <v>0</v>
      </c>
      <c r="AB21" s="34">
        <f>SUMIF('Rig 207'!$B:$B,Lists!$A$6,'Rig 207'!$C:$C)</f>
        <v>0</v>
      </c>
      <c r="AC21" s="34">
        <f>SUMIF('Rig 207'!$B:$B,Lists!$A$6,'Rig 207'!$E:$E)</f>
        <v>0</v>
      </c>
      <c r="AD21" s="34">
        <f>SUMIF('Rig 207'!$B:$B,Lists!$A$6,'Rig 207'!$F:$F)</f>
        <v>0</v>
      </c>
      <c r="AE21" s="34">
        <f>SUMIF('Rig 207'!$B:$B,Lists!$A$6,'Rig 207'!$G:$G)</f>
        <v>0</v>
      </c>
      <c r="AF21" s="34">
        <f>SUMIF('Rig 207'!$B:$B,Lists!$A$6,'Rig 207'!$H:$H)</f>
        <v>0</v>
      </c>
      <c r="AG21" s="34">
        <f>SUMIF('Rig 207'!$B:$B,Lists!$A$6,'Rig 207'!$I:$I)</f>
        <v>0</v>
      </c>
      <c r="AH21" s="34">
        <f>SUMIF('Rig 207'!$B:$B,Lists!$A$7,'Rig 207'!$C:$C)</f>
        <v>0</v>
      </c>
      <c r="AI21" s="34">
        <f>SUMIF('Rig 207'!$B:$B,Lists!$A$7,'Rig 207'!$E:$E)</f>
        <v>0</v>
      </c>
      <c r="AJ21" s="34">
        <f>SUMIF('Rig 207'!$B:$B,Lists!$A$7,'Rig 207'!$F:$F)</f>
        <v>0</v>
      </c>
      <c r="AK21" s="34">
        <f>SUMIF('Rig 207'!$B:$B,Lists!$A$7,'Rig 207'!$G:$G)</f>
        <v>0</v>
      </c>
      <c r="AL21" s="34">
        <f>SUMIF('Rig 207'!$B:$B,Lists!$A$7,'Rig 207'!$H:$H)</f>
        <v>0</v>
      </c>
      <c r="AM21" s="34">
        <f>SUMIF('Rig 207'!$B:$B,Lists!$A$7,'Rig 207'!$I:$I)</f>
        <v>0</v>
      </c>
      <c r="AN21" s="34">
        <f>SUMIF('Rig 207'!$B:$B,Lists!$A$8,'Rig 207'!$C:$C)</f>
        <v>206</v>
      </c>
      <c r="AO21" s="34">
        <f>SUMIF('Rig 207'!$B:$B,Lists!$A$8,'Rig 207'!$E:$E)</f>
        <v>265</v>
      </c>
      <c r="AP21" s="34">
        <f>SUMIF('Rig 207'!$B:$B,Lists!$A$8,'Rig 207'!$F:$F)</f>
        <v>0</v>
      </c>
      <c r="AQ21" s="34">
        <f>SUMIF('Rig 207'!$B:$B,Lists!$A$8,'Rig 207'!$G:$G)</f>
        <v>0</v>
      </c>
      <c r="AR21" s="34">
        <f>SUMIF('Rig 207'!$B:$B,Lists!$A$8,'Rig 207'!$H:$H)</f>
        <v>0</v>
      </c>
      <c r="AS21" s="34">
        <f>SUMIF('Rig 207'!$B:$B,Lists!$A$8,'Rig 207'!$I:$I)</f>
        <v>0</v>
      </c>
      <c r="AT21" s="34">
        <f>SUMIF('Rig 207'!$B:$B,Lists!$A$9,'Rig 207'!$C:$C)</f>
        <v>0</v>
      </c>
      <c r="AU21" s="34">
        <f>SUMIF('Rig 207'!$B:$B,Lists!$A$9,'Rig 207'!$E:$E)</f>
        <v>0</v>
      </c>
      <c r="AV21" s="34">
        <f>SUMIF('Rig 207'!$B:$B,Lists!$A$9,'Rig 207'!$F:$F)</f>
        <v>0</v>
      </c>
      <c r="AW21" s="34">
        <f>SUMIF('Rig 207'!$B:$B,Lists!$A$9,'Rig 207'!$G:$G)</f>
        <v>0</v>
      </c>
      <c r="AX21" s="34">
        <f>SUMIF('Rig 207'!$B:$B,Lists!$A$9,'Rig 207'!$H:$H)</f>
        <v>0</v>
      </c>
      <c r="AY21" s="34">
        <f>SUMIF('Rig 207'!$B:$B,Lists!$A$9,'Rig 207'!$I:$I)</f>
        <v>0</v>
      </c>
      <c r="AZ21" s="34">
        <f>SUMIF('Rig 207'!$B:$B,Lists!$A$10,'Rig 207'!$C:$C)</f>
        <v>0</v>
      </c>
      <c r="BA21" s="34">
        <f>SUMIF('Rig 207'!$B:$B,Lists!$A$10,'Rig 207'!$E:$E)</f>
        <v>0</v>
      </c>
      <c r="BB21" s="34">
        <f>SUMIF('Rig 207'!$B:$B,Lists!$A$10,'Rig 207'!$F:$F)</f>
        <v>0</v>
      </c>
      <c r="BC21" s="34">
        <f>SUMIF('Rig 207'!$B:$B,Lists!$A$10,'Rig 207'!$G:$G)</f>
        <v>0</v>
      </c>
      <c r="BD21" s="34">
        <f>SUMIF('Rig 207'!$B:$B,Lists!$A$10,'Rig 207'!$H:$H)</f>
        <v>0</v>
      </c>
      <c r="BE21" s="34">
        <f>SUMIF('Rig 207'!$B:$B,Lists!$A$10,'Rig 207'!$I:$I)</f>
        <v>0</v>
      </c>
      <c r="BF21" s="34">
        <f>SUMIF('Rig 207'!$B:$B,Lists!$A$11,'Rig 207'!$C:$C)</f>
        <v>0</v>
      </c>
      <c r="BG21" s="34">
        <f>SUMIF('Rig 207'!$B:$B,Lists!$A$11,'Rig 207'!$E:$E)</f>
        <v>0</v>
      </c>
      <c r="BH21" s="34">
        <f>SUMIF('Rig 207'!$B:$B,Lists!$A$11,'Rig 207'!$F:$F)</f>
        <v>0</v>
      </c>
      <c r="BI21" s="34">
        <f>SUMIF('Rig 207'!$B:$B,Lists!$A$11,'Rig 207'!$G:$G)</f>
        <v>0</v>
      </c>
      <c r="BJ21" s="34">
        <f>SUMIF('Rig 207'!$B:$B,Lists!$A$11,'Rig 207'!$H:$H)</f>
        <v>0</v>
      </c>
      <c r="BK21" s="34">
        <f>SUMIF('Rig 207'!$B:$B,Lists!$A$11,'Rig 207'!$I:$I)</f>
        <v>0</v>
      </c>
      <c r="BL21" s="34">
        <f>SUMIF('Rig 207'!$B:$B,Lists!$A$12,'Rig 207'!$C:$C)</f>
        <v>0</v>
      </c>
      <c r="BM21" s="34">
        <f>SUMIF('Rig 207'!$B:$B,Lists!$A$12,'Rig 207'!$E:$E)</f>
        <v>0</v>
      </c>
      <c r="BN21" s="34">
        <f>SUMIF('Rig 207'!$B:$B,Lists!$A$12,'Rig 207'!$F:$F)</f>
        <v>0</v>
      </c>
      <c r="BO21" s="34">
        <f>SUMIF('Rig 207'!$B:$B,Lists!$A$12,'Rig 207'!$G:$G)</f>
        <v>0</v>
      </c>
      <c r="BP21" s="34">
        <f>SUMIF('Rig 207'!$B:$B,Lists!$A$12,'Rig 207'!$H:$H)</f>
        <v>0</v>
      </c>
      <c r="BQ21" s="34">
        <f>SUMIF('Rig 207'!$B:$B,Lists!$A$12,'Rig 207'!$I:$I)</f>
        <v>0</v>
      </c>
      <c r="BR21" s="34">
        <f>SUMIF('Rig 207'!$B:$B,Lists!$A$13,'Rig 207'!$C:$C)</f>
        <v>0</v>
      </c>
      <c r="BS21" s="34">
        <f>SUMIF('Rig 207'!$B:$B,Lists!$A$13,'Rig 207'!$E:$E)</f>
        <v>0</v>
      </c>
      <c r="BT21" s="34">
        <f>SUMIF('Rig 207'!$B:$B,Lists!$A$13,'Rig 207'!$F:$F)</f>
        <v>0</v>
      </c>
      <c r="BU21" s="34">
        <f>SUMIF('Rig 207'!$B:$B,Lists!$A$13,'Rig 207'!$G:$G)</f>
        <v>0</v>
      </c>
      <c r="BV21" s="34">
        <f>SUMIF('Rig 207'!$B:$B,Lists!$A$13,'Rig 207'!$H:$H)</f>
        <v>0</v>
      </c>
      <c r="BW21" s="34">
        <f>SUMIF('Rig 207'!$B:$B,Lists!$A$13,'Rig 207'!$I:$I)</f>
        <v>0</v>
      </c>
      <c r="BX21" s="34">
        <f>SUMIF('Rig 207'!$B:$B,Lists!$A$14,'Rig 207'!$C:$C)</f>
        <v>350</v>
      </c>
      <c r="BY21" s="34">
        <f>SUMIF('Rig 207'!$B:$B,Lists!$A$14,'Rig 207'!$E:$E)</f>
        <v>411</v>
      </c>
      <c r="BZ21" s="34">
        <f>SUMIF('Rig 207'!$B:$B,Lists!$A$14,'Rig 207'!$F:$F)</f>
        <v>0</v>
      </c>
      <c r="CA21" s="34">
        <f>SUMIF('Rig 207'!$B:$B,Lists!$A$14,'Rig 207'!$G:$G)</f>
        <v>0</v>
      </c>
      <c r="CB21" s="34">
        <f>SUMIF('Rig 207'!$B:$B,Lists!$A$14,'Rig 207'!$H:$H)</f>
        <v>0</v>
      </c>
      <c r="CC21" s="34">
        <f>SUMIF('Rig 207'!$B:$B,Lists!$A$14,'Rig 207'!$I:$I)</f>
        <v>0</v>
      </c>
      <c r="CD21" s="34">
        <f>SUMIF('Rig 207'!$B:$B,Lists!$A$15,'Rig 207'!$C:$C)</f>
        <v>0</v>
      </c>
      <c r="CE21" s="34">
        <f>SUMIF('Rig 207'!$B:$B,Lists!$A$15,'Rig 207'!$E:$E)</f>
        <v>0</v>
      </c>
      <c r="CF21" s="34">
        <f>SUMIF('Rig 207'!$B:$B,Lists!$A$15,'Rig 207'!$F:$F)</f>
        <v>0</v>
      </c>
      <c r="CG21" s="34">
        <f>SUMIF('Rig 207'!$B:$B,Lists!$A$15,'Rig 207'!$G:$G)</f>
        <v>0</v>
      </c>
      <c r="CH21" s="34">
        <f>SUMIF('Rig 207'!$B:$B,Lists!$A$15,'Rig 207'!$H:$H)</f>
        <v>0</v>
      </c>
      <c r="CI21" s="34">
        <f>SUMIF('Rig 207'!$B:$B,Lists!$A$15,'Rig 207'!$I:$I)</f>
        <v>0</v>
      </c>
      <c r="CJ21" s="34">
        <f>SUMIF('Rig 207'!$B:$B,Lists!$A$16,'Rig 207'!$C:$C)</f>
        <v>45</v>
      </c>
      <c r="CK21" s="34">
        <f>SUMIF('Rig 207'!$B:$B,Lists!$A$16,'Rig 207'!$E:$E)</f>
        <v>0</v>
      </c>
      <c r="CL21" s="34">
        <f>SUMIF('Rig 207'!$B:$B,Lists!$A$16,'Rig 207'!$F:$F)</f>
        <v>0</v>
      </c>
      <c r="CM21" s="34">
        <f>SUMIF('Rig 207'!$B:$B,Lists!$A$16,'Rig 207'!$G:$G)</f>
        <v>0</v>
      </c>
      <c r="CN21" s="34">
        <f>SUMIF('Rig 207'!$B:$B,Lists!$A$16,'Rig 207'!$H:$H)</f>
        <v>0</v>
      </c>
      <c r="CO21" s="34">
        <f>SUMIF('Rig 207'!$B:$B,Lists!$A$16,'Rig 207'!$I:$I)</f>
        <v>0</v>
      </c>
      <c r="CP21" s="34">
        <f>SUMIF('Rig 207'!$B:$B,Lists!$A$17,'Rig 207'!$C:$C)</f>
        <v>0</v>
      </c>
      <c r="CQ21" s="34">
        <f>SUMIF('Rig 207'!$B:$B,Lists!$A$17,'Rig 207'!$E:$E)</f>
        <v>48</v>
      </c>
      <c r="CR21" s="34">
        <f>SUMIF('Rig 207'!$B:$B,Lists!$A$17,'Rig 207'!$F:$F)</f>
        <v>0</v>
      </c>
      <c r="CS21" s="34">
        <f>SUMIF('Rig 207'!$B:$B,Lists!$A$17,'Rig 207'!$G:$G)</f>
        <v>0</v>
      </c>
      <c r="CT21" s="34">
        <f>SUMIF('Rig 207'!$B:$B,Lists!$A$17,'Rig 207'!$H:$H)</f>
        <v>0</v>
      </c>
      <c r="CU21" s="34">
        <f>SUMIF('Rig 207'!$B:$B,Lists!$A$17,'Rig 207'!$I:$I)</f>
        <v>0</v>
      </c>
      <c r="CV21" s="34">
        <f>SUMIF('Rig 207'!$B:$B,Lists!$A$18,'Rig 207'!$C:$C)</f>
        <v>0</v>
      </c>
      <c r="CW21" s="34">
        <f>SUMIF('Rig 207'!$B:$B,Lists!$A$18,'Rig 207'!$E:$E)</f>
        <v>0</v>
      </c>
      <c r="CX21" s="34">
        <f>SUMIF('Rig 207'!$B:$B,Lists!$A$18,'Rig 207'!$F:$F)</f>
        <v>0</v>
      </c>
      <c r="CY21" s="34">
        <f>SUMIF('Rig 207'!$B:$B,Lists!$A$18,'Rig 207'!$G:$G)</f>
        <v>0</v>
      </c>
      <c r="CZ21" s="34">
        <f>SUMIF('Rig 207'!$B:$B,Lists!$A$18,'Rig 207'!$H:$H)</f>
        <v>0</v>
      </c>
      <c r="DA21" s="34">
        <f>SUMIF('Rig 207'!$B:$B,Lists!$A$18,'Rig 207'!$I:$I)</f>
        <v>0</v>
      </c>
      <c r="DB21" s="34">
        <f>SUMIF('Rig 207'!$B:$B,Lists!$A$19,'Rig 207'!$C:$C)</f>
        <v>0</v>
      </c>
      <c r="DC21" s="34">
        <f>SUMIF('Rig 207'!$B:$B,Lists!$A$19,'Rig 207'!$E:$E)</f>
        <v>0</v>
      </c>
      <c r="DD21" s="34">
        <f>SUMIF('Rig 207'!$B:$B,Lists!$A$19,'Rig 207'!$F:$F)</f>
        <v>0</v>
      </c>
      <c r="DE21" s="34">
        <f>SUMIF('Rig 207'!$B:$B,Lists!$A$19,'Rig 207'!$G:$G)</f>
        <v>0</v>
      </c>
      <c r="DF21" s="34">
        <f>SUMIF('Rig 207'!$B:$B,Lists!$A$19,'Rig 207'!$H:$H)</f>
        <v>0</v>
      </c>
      <c r="DG21" s="34">
        <f>SUMIF('Rig 207'!$B:$B,Lists!$A$19,'Rig 207'!$I:$I)</f>
        <v>0</v>
      </c>
      <c r="DH21" s="34">
        <f>SUMIF('Rig 207'!$B:$B,Lists!$A$20,'Rig 207'!$C:$C)</f>
        <v>51</v>
      </c>
      <c r="DI21" s="34">
        <f>SUMIF('Rig 207'!$B:$B,Lists!$A$20,'Rig 207'!$E:$E)</f>
        <v>0</v>
      </c>
      <c r="DJ21" s="34">
        <f>SUMIF('Rig 207'!$B:$B,Lists!$A$20,'Rig 207'!$F:$F)</f>
        <v>0</v>
      </c>
      <c r="DK21" s="34">
        <f>SUMIF('Rig 207'!$B:$B,Lists!$A$20,'Rig 207'!$G:$G)</f>
        <v>0</v>
      </c>
      <c r="DL21" s="34">
        <f>SUMIF('Rig 207'!$B:$B,Lists!$A$20,'Rig 207'!$H:$H)</f>
        <v>0</v>
      </c>
      <c r="DM21" s="34">
        <f>SUMIF('Rig 207'!$B:$B,Lists!$A$20,'Rig 207'!$I:$I)</f>
        <v>0</v>
      </c>
      <c r="DN21" s="34">
        <f>SUMIF('Rig 207'!$B:$B,Lists!$A$21,'Rig 207'!$C:$C)</f>
        <v>9</v>
      </c>
      <c r="DO21" s="34">
        <f>SUMIF('Rig 207'!$B:$B,Lists!$A$21,'Rig 207'!$E:$E)</f>
        <v>58</v>
      </c>
      <c r="DP21" s="34">
        <f>SUMIF('Rig 207'!$B:$B,Lists!$A$21,'Rig 207'!$F:$F)</f>
        <v>0</v>
      </c>
      <c r="DQ21" s="34">
        <f>SUMIF('Rig 207'!$B:$B,Lists!$A$21,'Rig 207'!$G:$G)</f>
        <v>0</v>
      </c>
      <c r="DR21" s="34">
        <f>SUMIF('Rig 207'!$B:$B,Lists!$A$21,'Rig 207'!$H:$H)</f>
        <v>0</v>
      </c>
      <c r="DS21" s="34">
        <f>SUMIF('Rig 207'!$B:$B,Lists!$A$21,'Rig 207'!$I:$I)</f>
        <v>0</v>
      </c>
      <c r="DT21" s="34">
        <f>SUMIF('Rig 207'!$B:$B,Lists!$A$22,'Rig 207'!$C:$C)</f>
        <v>24</v>
      </c>
      <c r="DU21" s="34">
        <f>SUMIF('Rig 207'!$B:$B,Lists!$A$22,'Rig 207'!$E:$E)</f>
        <v>4</v>
      </c>
      <c r="DV21" s="34">
        <f>SUMIF('Rig 207'!$B:$B,Lists!$A$22,'Rig 207'!$F:$F)</f>
        <v>0</v>
      </c>
      <c r="DW21" s="34">
        <f>SUMIF('Rig 207'!$B:$B,Lists!$A$22,'Rig 207'!$G:$G)</f>
        <v>0</v>
      </c>
      <c r="DX21" s="34">
        <f>SUMIF('Rig 207'!$B:$B,Lists!$A$22,'Rig 207'!$H:$H)</f>
        <v>0</v>
      </c>
      <c r="DY21" s="34">
        <f>SUMIF('Rig 207'!$B:$B,Lists!$A$22,'Rig 207'!$I:$I)</f>
        <v>0</v>
      </c>
      <c r="DZ21" s="34">
        <f>SUMIF('Rig 207'!$B:$B,Lists!$A$23,'Rig 207'!$C:$C)</f>
        <v>0</v>
      </c>
      <c r="EA21" s="34">
        <f>SUMIF('Rig 207'!$B:$B,Lists!$A$23,'Rig 207'!$E:$E)</f>
        <v>4</v>
      </c>
      <c r="EB21" s="34">
        <f>SUMIF('Rig 207'!$B:$B,Lists!$A$23,'Rig 207'!$F:$F)</f>
        <v>0</v>
      </c>
      <c r="EC21" s="34">
        <f>SUMIF('Rig 207'!$B:$B,Lists!$A$23,'Rig 207'!$G:$G)</f>
        <v>0</v>
      </c>
      <c r="ED21" s="34">
        <f>SUMIF('Rig 207'!$B:$B,Lists!$A$23,'Rig 207'!$H:$H)</f>
        <v>0</v>
      </c>
      <c r="EE21" s="34">
        <f>SUMIF('Rig 207'!$B:$B,Lists!$A$23,'Rig 207'!$I:$I)</f>
        <v>0</v>
      </c>
      <c r="EF21" s="34">
        <f>SUMIF('Rig 207'!$B:$B,Lists!$A$24,'Rig 207'!$C:$C)</f>
        <v>0</v>
      </c>
      <c r="EG21" s="34">
        <f>SUMIF('Rig 207'!$B:$B,Lists!$A$24,'Rig 207'!$E:$E)</f>
        <v>0</v>
      </c>
      <c r="EH21" s="34">
        <f>SUMIF('Rig 207'!$B:$B,Lists!$A$24,'Rig 207'!$F:$F)</f>
        <v>0</v>
      </c>
      <c r="EI21" s="34">
        <f>SUMIF('Rig 207'!$B:$B,Lists!$A$24,'Rig 207'!$G:$G)</f>
        <v>0</v>
      </c>
      <c r="EJ21" s="34">
        <f>SUMIF('Rig 207'!$B:$B,Lists!$A$24,'Rig 207'!$H:$H)</f>
        <v>0</v>
      </c>
      <c r="EK21" s="34">
        <f>SUMIF('Rig 207'!$B:$B,Lists!$A$24,'Rig 207'!$I:$I)</f>
        <v>0</v>
      </c>
      <c r="EL21" s="34">
        <f>SUMIF('Rig 207'!$B:$B,Lists!$A$25,'Rig 207'!$C:$C)</f>
        <v>24</v>
      </c>
      <c r="EM21" s="34">
        <f>SUMIF('Rig 207'!$B:$B,Lists!$A$25,'Rig 207'!$E:$E)</f>
        <v>0</v>
      </c>
      <c r="EN21" s="34">
        <f>SUMIF('Rig 207'!$B:$B,Lists!$A$25,'Rig 207'!$F:$F)</f>
        <v>0</v>
      </c>
      <c r="EO21" s="34">
        <f>SUMIF('Rig 207'!$B:$B,Lists!$A$25,'Rig 207'!$G:$G)</f>
        <v>0</v>
      </c>
      <c r="EP21" s="34">
        <f>SUMIF('Rig 207'!$B:$B,Lists!$A$25,'Rig 207'!$H:$H)</f>
        <v>0</v>
      </c>
      <c r="EQ21" s="34">
        <f>SUMIF('Rig 207'!$B:$B,Lists!$A$25,'Rig 207'!$I:$I)</f>
        <v>0</v>
      </c>
      <c r="ER21" s="34">
        <f>SUMIF('Rig 207'!$B:$B,Lists!$A$26,'Rig 207'!$C:$C)</f>
        <v>0</v>
      </c>
      <c r="ES21" s="34">
        <f>SUMIF('Rig 207'!$B:$B,Lists!$A$26,'Rig 207'!$E:$E)</f>
        <v>7</v>
      </c>
      <c r="ET21" s="34">
        <f>SUMIF('Rig 207'!$B:$B,Lists!$A$26,'Rig 207'!$F:$F)</f>
        <v>0</v>
      </c>
      <c r="EU21" s="34">
        <f>SUMIF('Rig 207'!$B:$B,Lists!$A$26,'Rig 207'!$G:$G)</f>
        <v>0</v>
      </c>
      <c r="EV21" s="34">
        <f>SUMIF('Rig 207'!$B:$B,Lists!$A$26,'Rig 207'!$H:$H)</f>
        <v>0</v>
      </c>
      <c r="EW21" s="34">
        <f>SUMIF('Rig 207'!$B:$B,Lists!$A$26,'Rig 207'!$I:$I)</f>
        <v>0</v>
      </c>
      <c r="EX21" s="34">
        <f>SUMIF('Rig 207'!$B:$B,Lists!$A$27,'Rig 207'!$C:$C)</f>
        <v>0</v>
      </c>
      <c r="EY21" s="34">
        <f>SUMIF('Rig 207'!$B:$B,Lists!$A$27,'Rig 207'!$E:$E)</f>
        <v>0</v>
      </c>
      <c r="EZ21" s="34">
        <f>SUMIF('Rig 207'!$B:$B,Lists!$A$27,'Rig 207'!$F:$F)</f>
        <v>0</v>
      </c>
      <c r="FA21" s="34">
        <f>SUMIF('Rig 207'!$B:$B,Lists!$A$27,'Rig 207'!$G:$G)</f>
        <v>0</v>
      </c>
      <c r="FB21" s="34">
        <f>SUMIF('Rig 207'!$B:$B,Lists!$A$27,'Rig 207'!$H:$H)</f>
        <v>0</v>
      </c>
      <c r="FC21" s="34">
        <f>SUMIF('Rig 207'!$B:$B,Lists!$A$27,'Rig 207'!$I:$I)</f>
        <v>0</v>
      </c>
      <c r="FD21" s="34">
        <f>SUMIF('Rig 207'!$B:$B,Lists!$A$28,'Rig 207'!$C:$C)</f>
        <v>24</v>
      </c>
      <c r="FE21" s="34">
        <f>SUMIF('Rig 207'!$B:$B,Lists!$A$28,'Rig 207'!$E:$E)</f>
        <v>0</v>
      </c>
      <c r="FF21" s="34">
        <f>SUMIF('Rig 207'!$B:$B,Lists!$A$28,'Rig 207'!$F:$F)</f>
        <v>0</v>
      </c>
      <c r="FG21" s="34">
        <f>SUMIF('Rig 207'!$B:$B,Lists!$A$28,'Rig 207'!$G:$G)</f>
        <v>0</v>
      </c>
      <c r="FH21" s="34">
        <f>SUMIF('Rig 207'!$B:$B,Lists!$A$28,'Rig 207'!$H:$H)</f>
        <v>0</v>
      </c>
      <c r="FI21" s="34">
        <f>SUMIF('Rig 207'!$B:$B,Lists!$A$28,'Rig 207'!$I:$I)</f>
        <v>0</v>
      </c>
      <c r="FJ21" s="34">
        <f>SUMIF('Rig 207'!$B:$B,Lists!$A$29,'Rig 207'!$C:$C)</f>
        <v>0</v>
      </c>
      <c r="FK21" s="34">
        <f>SUMIF('Rig 207'!$B:$B,Lists!$A$29,'Rig 207'!$E:$E)</f>
        <v>10</v>
      </c>
      <c r="FL21" s="34">
        <f>SUMIF('Rig 207'!$B:$B,Lists!$A$29,'Rig 207'!$F:$F)</f>
        <v>0</v>
      </c>
      <c r="FM21" s="34">
        <f>SUMIF('Rig 207'!$B:$B,Lists!$A$29,'Rig 207'!$G:$G)</f>
        <v>0</v>
      </c>
      <c r="FN21" s="34">
        <f>SUMIF('Rig 207'!$B:$B,Lists!$A$29,'Rig 207'!$H:$H)</f>
        <v>0</v>
      </c>
      <c r="FO21" s="34">
        <f>SUMIF('Rig 207'!$B:$B,Lists!$A$29,'Rig 207'!$I:$I)</f>
        <v>0</v>
      </c>
      <c r="FP21" s="34">
        <f>SUMIF('Rig 207'!$B:$B,Lists!$A$30,'Rig 207'!$C:$C)</f>
        <v>0</v>
      </c>
      <c r="FQ21" s="34">
        <f>SUMIF('Rig 207'!$B:$B,Lists!$A$30,'Rig 207'!$E:$E)</f>
        <v>0</v>
      </c>
      <c r="FR21" s="34">
        <f>SUMIF('Rig 207'!$B:$B,Lists!$A$30,'Rig 207'!$F:$F)</f>
        <v>0</v>
      </c>
      <c r="FS21" s="34">
        <f>SUMIF('Rig 207'!$B:$B,Lists!$A$30,'Rig 207'!$G:$G)</f>
        <v>0</v>
      </c>
      <c r="FT21" s="34">
        <f>SUMIF('Rig 207'!$B:$B,Lists!$A$30,'Rig 207'!$H:$H)</f>
        <v>0</v>
      </c>
      <c r="FU21" s="34">
        <f>SUMIF('Rig 207'!$B:$B,Lists!$A$30,'Rig 207'!$I:$I)</f>
        <v>0</v>
      </c>
      <c r="FV21" s="34">
        <f>SUMIF('Rig 207'!$B:$B,Lists!$A$31,'Rig 207'!$C:$C)</f>
        <v>0</v>
      </c>
      <c r="FW21" s="34">
        <f>SUMIF('Rig 207'!$B:$B,Lists!$A$31,'Rig 207'!$E:$E)</f>
        <v>0</v>
      </c>
      <c r="FX21" s="34">
        <f>SUMIF('Rig 207'!$B:$B,Lists!$A$31,'Rig 207'!$F:$F)</f>
        <v>0</v>
      </c>
      <c r="FY21" s="34">
        <f>SUMIF('Rig 207'!$B:$B,Lists!$A$31,'Rig 207'!$G:$G)</f>
        <v>0</v>
      </c>
      <c r="FZ21" s="34">
        <f>SUMIF('Rig 207'!$B:$B,Lists!$A$31,'Rig 207'!$H:$H)</f>
        <v>0</v>
      </c>
      <c r="GA21" s="34">
        <f>SUMIF('Rig 207'!$B:$B,Lists!$A$31,'Rig 207'!$I:$I)</f>
        <v>0</v>
      </c>
      <c r="GB21" s="34">
        <f>SUMIF('Rig 207'!$B:$B,Lists!$A$32,'Rig 207'!$C:$C)</f>
        <v>0</v>
      </c>
      <c r="GC21" s="34">
        <f>SUMIF('Rig 207'!$B:$B,Lists!$A$32,'Rig 207'!$E:$E)</f>
        <v>0</v>
      </c>
      <c r="GD21" s="34">
        <f>SUMIF('Rig 207'!$B:$B,Lists!$A$32,'Rig 207'!$F:$F)</f>
        <v>0</v>
      </c>
      <c r="GE21" s="34">
        <f>SUMIF('Rig 207'!$B:$B,Lists!$A$32,'Rig 207'!$G:$G)</f>
        <v>0</v>
      </c>
      <c r="GF21" s="34">
        <f>SUMIF('Rig 207'!$B:$B,Lists!$A$32,'Rig 207'!$H:$H)</f>
        <v>0</v>
      </c>
      <c r="GG21" s="34">
        <f>SUMIF('Rig 207'!$B:$B,Lists!$A$32,'Rig 207'!$I:$I)</f>
        <v>0</v>
      </c>
      <c r="GH21" s="34">
        <f>SUMIF('Rig 207'!$B:$B,Lists!$A$33,'Rig 207'!$C:$C)</f>
        <v>0</v>
      </c>
      <c r="GI21" s="34">
        <f>SUMIF('Rig 207'!$B:$B,Lists!$A$33,'Rig 207'!$E:$E)</f>
        <v>0</v>
      </c>
      <c r="GJ21" s="34">
        <f>SUMIF('Rig 207'!$B:$B,Lists!$A$33,'Rig 207'!$F:$F)</f>
        <v>0</v>
      </c>
      <c r="GK21" s="34">
        <f>SUMIF('Rig 207'!$B:$B,Lists!$A$33,'Rig 207'!$G:$G)</f>
        <v>0</v>
      </c>
      <c r="GL21" s="34">
        <f>SUMIF('Rig 207'!$B:$B,Lists!$A$33,'Rig 207'!$H:$H)</f>
        <v>0</v>
      </c>
      <c r="GM21" s="34">
        <f>SUMIF('Rig 207'!$B:$B,Lists!$A$33,'Rig 207'!$I:$I)</f>
        <v>0</v>
      </c>
      <c r="GN21" s="34">
        <f>SUMIF('Rig 207'!$B:$B,Lists!$A$34,'Rig 207'!$C:$C)</f>
        <v>0</v>
      </c>
      <c r="GO21" s="34">
        <f>SUMIF('Rig 207'!$B:$B,Lists!$A$34,'Rig 207'!$E:$E)</f>
        <v>0</v>
      </c>
      <c r="GP21" s="34">
        <f>SUMIF('Rig 207'!$B:$B,Lists!$A$34,'Rig 207'!$F:$F)</f>
        <v>0</v>
      </c>
      <c r="GQ21" s="34">
        <f>SUMIF('Rig 207'!$B:$B,Lists!$A$34,'Rig 207'!$G:$G)</f>
        <v>0</v>
      </c>
      <c r="GR21" s="34">
        <f>SUMIF('Rig 207'!$B:$B,Lists!$A$34,'Rig 207'!$H:$H)</f>
        <v>0</v>
      </c>
      <c r="GS21" s="34">
        <f>SUMIF('Rig 207'!$B:$B,Lists!$A$34,'Rig 207'!$I:$I)</f>
        <v>0</v>
      </c>
      <c r="GT21" s="34">
        <f>SUMIF('Rig 207'!$B:$B,Lists!$A$35,'Rig 207'!$C:$C)</f>
        <v>0</v>
      </c>
      <c r="GU21" s="34">
        <f>SUMIF('Rig 207'!$B:$B,Lists!$A$35,'Rig 207'!$E:$E)</f>
        <v>0</v>
      </c>
      <c r="GV21" s="34">
        <f>SUMIF('Rig 207'!$B:$B,Lists!$A$35,'Rig 207'!$F:$F)</f>
        <v>0</v>
      </c>
      <c r="GW21" s="34">
        <f>SUMIF('Rig 207'!$B:$B,Lists!$A$35,'Rig 207'!$G:$G)</f>
        <v>0</v>
      </c>
      <c r="GX21" s="34">
        <f>SUMIF('Rig 207'!$B:$B,Lists!$A$35,'Rig 207'!$H:$H)</f>
        <v>0</v>
      </c>
      <c r="GY21" s="34">
        <f>SUMIF('Rig 207'!$B:$B,Lists!$A$35,'Rig 207'!$I:$I)</f>
        <v>0</v>
      </c>
      <c r="GZ21" s="34">
        <f>SUMIF('Rig 207'!$B:$B,Lists!$A$36,'Rig 207'!$C:$C)</f>
        <v>0</v>
      </c>
      <c r="HA21" s="34">
        <f>SUMIF('Rig 207'!$B:$B,Lists!$A$36,'Rig 207'!$E:$E)</f>
        <v>0</v>
      </c>
      <c r="HB21" s="34">
        <f>SUMIF('Rig 207'!$B:$B,Lists!$A$36,'Rig 207'!$F:$F)</f>
        <v>0</v>
      </c>
      <c r="HC21" s="34">
        <f>SUMIF('Rig 207'!$B:$B,Lists!$A$36,'Rig 207'!$G:$G)</f>
        <v>0</v>
      </c>
      <c r="HD21" s="34">
        <f>SUMIF('Rig 207'!$B:$B,Lists!$A$36,'Rig 207'!$H:$H)</f>
        <v>0</v>
      </c>
      <c r="HE21" s="34">
        <f>SUMIF('Rig 207'!$B:$B,Lists!$A$36,'Rig 207'!$I:$I)</f>
        <v>0</v>
      </c>
      <c r="HF21" s="34">
        <f>SUMIF('Rig 207'!$B:$B,Lists!$A$37,'Rig 207'!$C:$C)</f>
        <v>0</v>
      </c>
      <c r="HG21" s="34">
        <f>SUMIF('Rig 207'!$B:$B,Lists!$A$37,'Rig 207'!$E:$E)</f>
        <v>0</v>
      </c>
      <c r="HH21" s="34">
        <f>SUMIF('Rig 207'!$B:$B,Lists!$A$37,'Rig 207'!$F:$F)</f>
        <v>0</v>
      </c>
      <c r="HI21" s="34">
        <f>SUMIF('Rig 207'!$B:$B,Lists!$A$37,'Rig 207'!$G:$G)</f>
        <v>0</v>
      </c>
      <c r="HJ21" s="34">
        <f>SUMIF('Rig 207'!$B:$B,Lists!$A$37,'Rig 207'!$H:$H)</f>
        <v>0</v>
      </c>
      <c r="HK21" s="34">
        <f>SUMIF('Rig 207'!$B:$B,Lists!$A$37,'Rig 207'!$I:$I)</f>
        <v>0</v>
      </c>
      <c r="HL21" s="34">
        <f>SUMIF('Rig 207'!$B:$B,Lists!$A$38,'Rig 207'!$C:$C)</f>
        <v>0</v>
      </c>
      <c r="HM21" s="34">
        <f>SUMIF('Rig 207'!$B:$B,Lists!$A$38,'Rig 207'!$E:$E)</f>
        <v>0</v>
      </c>
      <c r="HN21" s="34">
        <f>SUMIF('Rig 207'!$B:$B,Lists!$A$38,'Rig 207'!$F:$F)</f>
        <v>0</v>
      </c>
      <c r="HO21" s="34">
        <f>SUMIF('Rig 207'!$B:$B,Lists!$A$38,'Rig 207'!$G:$G)</f>
        <v>0</v>
      </c>
      <c r="HP21" s="34">
        <f>SUMIF('Rig 207'!$B:$B,Lists!$A$38,'Rig 207'!$H:$H)</f>
        <v>0</v>
      </c>
      <c r="HQ21" s="34">
        <f>SUMIF('Rig 207'!$B:$B,Lists!$A$38,'Rig 207'!$I:$I)</f>
        <v>0</v>
      </c>
      <c r="HR21" s="34">
        <f>SUMIF('Rig 207'!$B:$B,Lists!$A$39,'Rig 207'!$C:$C)</f>
        <v>0</v>
      </c>
      <c r="HS21" s="34">
        <f>SUMIF('Rig 207'!$B:$B,Lists!$A$39,'Rig 207'!$E:$E)</f>
        <v>0</v>
      </c>
      <c r="HT21" s="34">
        <f>SUMIF('Rig 207'!$B:$B,Lists!$A$39,'Rig 207'!$F:$F)</f>
        <v>0</v>
      </c>
      <c r="HU21" s="34">
        <f>SUMIF('Rig 207'!$B:$B,Lists!$A$39,'Rig 207'!$G:$G)</f>
        <v>0</v>
      </c>
      <c r="HV21" s="34">
        <f>SUMIF('Rig 207'!$B:$B,Lists!$A$39,'Rig 207'!$H:$H)</f>
        <v>0</v>
      </c>
      <c r="HW21" s="34">
        <f>SUMIF('Rig 207'!$B:$B,Lists!$A$39,'Rig 207'!$I:$I)</f>
        <v>0</v>
      </c>
      <c r="HX21" s="34">
        <f>SUMIF('Rig 207'!$B:$B,Lists!$A$40,'Rig 207'!$C:$C)</f>
        <v>0</v>
      </c>
      <c r="HY21" s="34">
        <f>SUMIF('Rig 207'!$B:$B,Lists!$A$40,'Rig 207'!$E:$E)</f>
        <v>0</v>
      </c>
      <c r="HZ21" s="34">
        <f>SUMIF('Rig 207'!$B:$B,Lists!$A$40,'Rig 207'!$F:$F)</f>
        <v>0</v>
      </c>
      <c r="IA21" s="34">
        <f>SUMIF('Rig 207'!$B:$B,Lists!$A$40,'Rig 207'!$G:$G)</f>
        <v>0</v>
      </c>
      <c r="IB21" s="34">
        <f>SUMIF('Rig 207'!$B:$B,Lists!$A$40,'Rig 207'!$H:$H)</f>
        <v>0</v>
      </c>
      <c r="IC21" s="34">
        <f>SUMIF('Rig 207'!$B:$B,Lists!$A$40,'Rig 207'!$I:$I)</f>
        <v>0</v>
      </c>
      <c r="ID21" s="34">
        <f>SUMIF('Rig 207'!$B:$B,Lists!$A$41,'Rig 207'!$C:$C)</f>
        <v>0</v>
      </c>
      <c r="IE21" s="34">
        <f>SUMIF('Rig 207'!$B:$B,Lists!$A$41,'Rig 207'!$E:$E)</f>
        <v>0</v>
      </c>
      <c r="IF21" s="34">
        <f>SUMIF('Rig 207'!$B:$B,Lists!$A$41,'Rig 207'!$F:$F)</f>
        <v>0</v>
      </c>
      <c r="IG21" s="34">
        <f>SUMIF('Rig 207'!$B:$B,Lists!$A$41,'Rig 207'!$G:$G)</f>
        <v>0</v>
      </c>
      <c r="IH21" s="34">
        <f>SUMIF('Rig 207'!$B:$B,Lists!$A$41,'Rig 207'!$H:$H)</f>
        <v>0</v>
      </c>
      <c r="II21" s="34">
        <f>SUMIF('Rig 207'!$B:$B,Lists!$A$41,'Rig 207'!$I:$I)</f>
        <v>0</v>
      </c>
    </row>
    <row r="22" spans="1:243" ht="19.5" customHeight="1" x14ac:dyDescent="0.3">
      <c r="A22" s="35" t="s">
        <v>93</v>
      </c>
      <c r="B22" s="36">
        <f>'Rig 208'!D2</f>
        <v>46173</v>
      </c>
      <c r="C22" s="37" t="s">
        <v>77</v>
      </c>
      <c r="D22" s="38">
        <f>SUMIF('Rig 208'!$B:$B,Lists!$A$2,'Rig 208'!$C:$C)</f>
        <v>0</v>
      </c>
      <c r="E22" s="38">
        <f>SUMIF('Rig 208'!$B:$B,Lists!$A$2,'Rig 208'!$E:$E)</f>
        <v>0</v>
      </c>
      <c r="F22" s="38">
        <f>SUMIF('Rig 208'!$B:$B,Lists!$A$2,'Rig 208'!$F:$F)</f>
        <v>0</v>
      </c>
      <c r="G22" s="38">
        <f>SUMIF('Rig 208'!$B:$B,Lists!$A$2,'Rig 208'!$G:$G)</f>
        <v>0</v>
      </c>
      <c r="H22" s="38">
        <f>SUMIF('Rig 208'!$B:$B,Lists!$A$2,'Rig 208'!$H:$H)</f>
        <v>0</v>
      </c>
      <c r="I22" s="38">
        <f>SUMIF('Rig 208'!$B:$B,Lists!$A$2,'Rig 208'!$I:$I)</f>
        <v>0</v>
      </c>
      <c r="J22" s="38">
        <f>SUMIF('Rig 208'!$B:$B,Lists!$A$3,'Rig 208'!$C:$C)</f>
        <v>0</v>
      </c>
      <c r="K22" s="38">
        <f>SUMIF('Rig 208'!$B:$B,Lists!$A$3,'Rig 208'!$E:$E)</f>
        <v>0</v>
      </c>
      <c r="L22" s="38">
        <f>SUMIF('Rig 208'!$B:$B,Lists!$A$3,'Rig 208'!$F:$F)</f>
        <v>0</v>
      </c>
      <c r="M22" s="38">
        <f>SUMIF('Rig 208'!$B:$B,Lists!$A$3,'Rig 208'!$G:$G)</f>
        <v>0</v>
      </c>
      <c r="N22" s="38">
        <f>SUMIF('Rig 208'!$B:$B,Lists!$A$3,'Rig 208'!$H:$H)</f>
        <v>0</v>
      </c>
      <c r="O22" s="38">
        <f>SUMIF('Rig 208'!$B:$B,Lists!$A$3,'Rig 208'!$I:$I)</f>
        <v>0</v>
      </c>
      <c r="P22" s="38">
        <f>SUMIF('Rig 208'!$B:$B,Lists!$A$4,'Rig 208'!$C:$C)</f>
        <v>0</v>
      </c>
      <c r="Q22" s="38">
        <f>SUMIF('Rig 208'!$B:$B,Lists!$A$4,'Rig 208'!$E:$E)</f>
        <v>0</v>
      </c>
      <c r="R22" s="38">
        <f>SUMIF('Rig 208'!$B:$B,Lists!$A$4,'Rig 208'!$F:$F)</f>
        <v>0</v>
      </c>
      <c r="S22" s="38">
        <f>SUMIF('Rig 208'!$B:$B,Lists!$A$4,'Rig 208'!$G:$G)</f>
        <v>0</v>
      </c>
      <c r="T22" s="38">
        <f>SUMIF('Rig 208'!$B:$B,Lists!$A$4,'Rig 208'!$H:$H)</f>
        <v>0</v>
      </c>
      <c r="U22" s="38">
        <f>SUMIF('Rig 208'!$B:$B,Lists!$A$4,'Rig 208'!$I:$I)</f>
        <v>0</v>
      </c>
      <c r="V22" s="38">
        <f>SUMIF('Rig 208'!$B:$B,Lists!$A$5,'Rig 208'!$C:$C)</f>
        <v>0</v>
      </c>
      <c r="W22" s="38">
        <f>SUMIF('Rig 208'!$B:$B,Lists!$A$5,'Rig 208'!$E:$E)</f>
        <v>0</v>
      </c>
      <c r="X22" s="38">
        <f>SUMIF('Rig 208'!$B:$B,Lists!$A$5,'Rig 208'!$F:$F)</f>
        <v>0</v>
      </c>
      <c r="Y22" s="38">
        <f>SUMIF('Rig 208'!$B:$B,Lists!$A$5,'Rig 208'!$G:$G)</f>
        <v>0</v>
      </c>
      <c r="Z22" s="38">
        <f>SUMIF('Rig 208'!$B:$B,Lists!$A$5,'Rig 208'!$H:$H)</f>
        <v>0</v>
      </c>
      <c r="AA22" s="38">
        <f>SUMIF('Rig 208'!$B:$B,Lists!$A$5,'Rig 208'!$I:$I)</f>
        <v>0</v>
      </c>
      <c r="AB22" s="38">
        <f>SUMIF('Rig 208'!$B:$B,Lists!$A$6,'Rig 208'!$C:$C)</f>
        <v>0</v>
      </c>
      <c r="AC22" s="38">
        <f>SUMIF('Rig 208'!$B:$B,Lists!$A$6,'Rig 208'!$E:$E)</f>
        <v>0</v>
      </c>
      <c r="AD22" s="38">
        <f>SUMIF('Rig 208'!$B:$B,Lists!$A$6,'Rig 208'!$F:$F)</f>
        <v>0</v>
      </c>
      <c r="AE22" s="38">
        <f>SUMIF('Rig 208'!$B:$B,Lists!$A$6,'Rig 208'!$G:$G)</f>
        <v>0</v>
      </c>
      <c r="AF22" s="38">
        <f>SUMIF('Rig 208'!$B:$B,Lists!$A$6,'Rig 208'!$H:$H)</f>
        <v>0</v>
      </c>
      <c r="AG22" s="38">
        <f>SUMIF('Rig 208'!$B:$B,Lists!$A$6,'Rig 208'!$I:$I)</f>
        <v>0</v>
      </c>
      <c r="AH22" s="38">
        <f>SUMIF('Rig 208'!$B:$B,Lists!$A$7,'Rig 208'!$C:$C)</f>
        <v>0</v>
      </c>
      <c r="AI22" s="38">
        <f>SUMIF('Rig 208'!$B:$B,Lists!$A$7,'Rig 208'!$E:$E)</f>
        <v>0</v>
      </c>
      <c r="AJ22" s="38">
        <f>SUMIF('Rig 208'!$B:$B,Lists!$A$7,'Rig 208'!$F:$F)</f>
        <v>0</v>
      </c>
      <c r="AK22" s="38">
        <f>SUMIF('Rig 208'!$B:$B,Lists!$A$7,'Rig 208'!$G:$G)</f>
        <v>0</v>
      </c>
      <c r="AL22" s="38">
        <f>SUMIF('Rig 208'!$B:$B,Lists!$A$7,'Rig 208'!$H:$H)</f>
        <v>0</v>
      </c>
      <c r="AM22" s="38">
        <f>SUMIF('Rig 208'!$B:$B,Lists!$A$7,'Rig 208'!$I:$I)</f>
        <v>0</v>
      </c>
      <c r="AN22" s="38">
        <f>SUMIF('Rig 208'!$B:$B,Lists!$A$8,'Rig 208'!$C:$C)</f>
        <v>0</v>
      </c>
      <c r="AO22" s="38">
        <f>SUMIF('Rig 208'!$B:$B,Lists!$A$8,'Rig 208'!$E:$E)</f>
        <v>0</v>
      </c>
      <c r="AP22" s="38">
        <f>SUMIF('Rig 208'!$B:$B,Lists!$A$8,'Rig 208'!$F:$F)</f>
        <v>0</v>
      </c>
      <c r="AQ22" s="38">
        <f>SUMIF('Rig 208'!$B:$B,Lists!$A$8,'Rig 208'!$G:$G)</f>
        <v>0</v>
      </c>
      <c r="AR22" s="38">
        <f>SUMIF('Rig 208'!$B:$B,Lists!$A$8,'Rig 208'!$H:$H)</f>
        <v>0</v>
      </c>
      <c r="AS22" s="38">
        <f>SUMIF('Rig 208'!$B:$B,Lists!$A$8,'Rig 208'!$I:$I)</f>
        <v>0</v>
      </c>
      <c r="AT22" s="38">
        <f>SUMIF('Rig 208'!$B:$B,Lists!$A$9,'Rig 208'!$C:$C)</f>
        <v>0</v>
      </c>
      <c r="AU22" s="38">
        <f>SUMIF('Rig 208'!$B:$B,Lists!$A$9,'Rig 208'!$E:$E)</f>
        <v>0</v>
      </c>
      <c r="AV22" s="38">
        <f>SUMIF('Rig 208'!$B:$B,Lists!$A$9,'Rig 208'!$F:$F)</f>
        <v>0</v>
      </c>
      <c r="AW22" s="38">
        <f>SUMIF('Rig 208'!$B:$B,Lists!$A$9,'Rig 208'!$G:$G)</f>
        <v>0</v>
      </c>
      <c r="AX22" s="38">
        <f>SUMIF('Rig 208'!$B:$B,Lists!$A$9,'Rig 208'!$H:$H)</f>
        <v>0</v>
      </c>
      <c r="AY22" s="38">
        <f>SUMIF('Rig 208'!$B:$B,Lists!$A$9,'Rig 208'!$I:$I)</f>
        <v>0</v>
      </c>
      <c r="AZ22" s="38">
        <f>SUMIF('Rig 208'!$B:$B,Lists!$A$10,'Rig 208'!$C:$C)</f>
        <v>0</v>
      </c>
      <c r="BA22" s="38">
        <f>SUMIF('Rig 208'!$B:$B,Lists!$A$10,'Rig 208'!$E:$E)</f>
        <v>0</v>
      </c>
      <c r="BB22" s="38">
        <f>SUMIF('Rig 208'!$B:$B,Lists!$A$10,'Rig 208'!$F:$F)</f>
        <v>0</v>
      </c>
      <c r="BC22" s="38">
        <f>SUMIF('Rig 208'!$B:$B,Lists!$A$10,'Rig 208'!$G:$G)</f>
        <v>0</v>
      </c>
      <c r="BD22" s="38">
        <f>SUMIF('Rig 208'!$B:$B,Lists!$A$10,'Rig 208'!$H:$H)</f>
        <v>0</v>
      </c>
      <c r="BE22" s="38">
        <f>SUMIF('Rig 208'!$B:$B,Lists!$A$10,'Rig 208'!$I:$I)</f>
        <v>0</v>
      </c>
      <c r="BF22" s="38">
        <f>SUMIF('Rig 208'!$B:$B,Lists!$A$11,'Rig 208'!$C:$C)</f>
        <v>0</v>
      </c>
      <c r="BG22" s="38">
        <f>SUMIF('Rig 208'!$B:$B,Lists!$A$11,'Rig 208'!$E:$E)</f>
        <v>0</v>
      </c>
      <c r="BH22" s="38">
        <f>SUMIF('Rig 208'!$B:$B,Lists!$A$11,'Rig 208'!$F:$F)</f>
        <v>0</v>
      </c>
      <c r="BI22" s="38">
        <f>SUMIF('Rig 208'!$B:$B,Lists!$A$11,'Rig 208'!$G:$G)</f>
        <v>0</v>
      </c>
      <c r="BJ22" s="38">
        <f>SUMIF('Rig 208'!$B:$B,Lists!$A$11,'Rig 208'!$H:$H)</f>
        <v>0</v>
      </c>
      <c r="BK22" s="38">
        <f>SUMIF('Rig 208'!$B:$B,Lists!$A$11,'Rig 208'!$I:$I)</f>
        <v>0</v>
      </c>
      <c r="BL22" s="38">
        <f>SUMIF('Rig 208'!$B:$B,Lists!$A$12,'Rig 208'!$C:$C)</f>
        <v>0</v>
      </c>
      <c r="BM22" s="38">
        <f>SUMIF('Rig 208'!$B:$B,Lists!$A$12,'Rig 208'!$E:$E)</f>
        <v>0</v>
      </c>
      <c r="BN22" s="38">
        <f>SUMIF('Rig 208'!$B:$B,Lists!$A$12,'Rig 208'!$F:$F)</f>
        <v>0</v>
      </c>
      <c r="BO22" s="38">
        <f>SUMIF('Rig 208'!$B:$B,Lists!$A$12,'Rig 208'!$G:$G)</f>
        <v>0</v>
      </c>
      <c r="BP22" s="38">
        <f>SUMIF('Rig 208'!$B:$B,Lists!$A$12,'Rig 208'!$H:$H)</f>
        <v>0</v>
      </c>
      <c r="BQ22" s="38">
        <f>SUMIF('Rig 208'!$B:$B,Lists!$A$12,'Rig 208'!$I:$I)</f>
        <v>0</v>
      </c>
      <c r="BR22" s="38">
        <f>SUMIF('Rig 208'!$B:$B,Lists!$A$13,'Rig 208'!$C:$C)</f>
        <v>0</v>
      </c>
      <c r="BS22" s="38">
        <f>SUMIF('Rig 208'!$B:$B,Lists!$A$13,'Rig 208'!$E:$E)</f>
        <v>0</v>
      </c>
      <c r="BT22" s="38">
        <f>SUMIF('Rig 208'!$B:$B,Lists!$A$13,'Rig 208'!$F:$F)</f>
        <v>0</v>
      </c>
      <c r="BU22" s="38">
        <f>SUMIF('Rig 208'!$B:$B,Lists!$A$13,'Rig 208'!$G:$G)</f>
        <v>0</v>
      </c>
      <c r="BV22" s="38">
        <f>SUMIF('Rig 208'!$B:$B,Lists!$A$13,'Rig 208'!$H:$H)</f>
        <v>0</v>
      </c>
      <c r="BW22" s="38">
        <f>SUMIF('Rig 208'!$B:$B,Lists!$A$13,'Rig 208'!$I:$I)</f>
        <v>0</v>
      </c>
      <c r="BX22" s="38">
        <f>SUMIF('Rig 208'!$B:$B,Lists!$A$14,'Rig 208'!$C:$C)</f>
        <v>0</v>
      </c>
      <c r="BY22" s="38">
        <f>SUMIF('Rig 208'!$B:$B,Lists!$A$14,'Rig 208'!$E:$E)</f>
        <v>0</v>
      </c>
      <c r="BZ22" s="38">
        <f>SUMIF('Rig 208'!$B:$B,Lists!$A$14,'Rig 208'!$F:$F)</f>
        <v>0</v>
      </c>
      <c r="CA22" s="38">
        <f>SUMIF('Rig 208'!$B:$B,Lists!$A$14,'Rig 208'!$G:$G)</f>
        <v>0</v>
      </c>
      <c r="CB22" s="38">
        <f>SUMIF('Rig 208'!$B:$B,Lists!$A$14,'Rig 208'!$H:$H)</f>
        <v>0</v>
      </c>
      <c r="CC22" s="38">
        <f>SUMIF('Rig 208'!$B:$B,Lists!$A$14,'Rig 208'!$I:$I)</f>
        <v>0</v>
      </c>
      <c r="CD22" s="38">
        <f>SUMIF('Rig 208'!$B:$B,Lists!$A$15,'Rig 208'!$C:$C)</f>
        <v>0</v>
      </c>
      <c r="CE22" s="38">
        <f>SUMIF('Rig 208'!$B:$B,Lists!$A$15,'Rig 208'!$E:$E)</f>
        <v>0</v>
      </c>
      <c r="CF22" s="38">
        <f>SUMIF('Rig 208'!$B:$B,Lists!$A$15,'Rig 208'!$F:$F)</f>
        <v>0</v>
      </c>
      <c r="CG22" s="38">
        <f>SUMIF('Rig 208'!$B:$B,Lists!$A$15,'Rig 208'!$G:$G)</f>
        <v>0</v>
      </c>
      <c r="CH22" s="38">
        <f>SUMIF('Rig 208'!$B:$B,Lists!$A$15,'Rig 208'!$H:$H)</f>
        <v>0</v>
      </c>
      <c r="CI22" s="38">
        <f>SUMIF('Rig 208'!$B:$B,Lists!$A$15,'Rig 208'!$I:$I)</f>
        <v>0</v>
      </c>
      <c r="CJ22" s="38">
        <f>SUMIF('Rig 208'!$B:$B,Lists!$A$16,'Rig 208'!$C:$C)</f>
        <v>0</v>
      </c>
      <c r="CK22" s="38">
        <f>SUMIF('Rig 208'!$B:$B,Lists!$A$16,'Rig 208'!$E:$E)</f>
        <v>0</v>
      </c>
      <c r="CL22" s="38">
        <f>SUMIF('Rig 208'!$B:$B,Lists!$A$16,'Rig 208'!$F:$F)</f>
        <v>0</v>
      </c>
      <c r="CM22" s="38">
        <f>SUMIF('Rig 208'!$B:$B,Lists!$A$16,'Rig 208'!$G:$G)</f>
        <v>0</v>
      </c>
      <c r="CN22" s="38">
        <f>SUMIF('Rig 208'!$B:$B,Lists!$A$16,'Rig 208'!$H:$H)</f>
        <v>0</v>
      </c>
      <c r="CO22" s="38">
        <f>SUMIF('Rig 208'!$B:$B,Lists!$A$16,'Rig 208'!$I:$I)</f>
        <v>0</v>
      </c>
      <c r="CP22" s="38">
        <f>SUMIF('Rig 208'!$B:$B,Lists!$A$17,'Rig 208'!$C:$C)</f>
        <v>45</v>
      </c>
      <c r="CQ22" s="38">
        <f>SUMIF('Rig 208'!$B:$B,Lists!$A$17,'Rig 208'!$E:$E)</f>
        <v>0</v>
      </c>
      <c r="CR22" s="38">
        <f>SUMIF('Rig 208'!$B:$B,Lists!$A$17,'Rig 208'!$F:$F)</f>
        <v>0</v>
      </c>
      <c r="CS22" s="38">
        <f>SUMIF('Rig 208'!$B:$B,Lists!$A$17,'Rig 208'!$G:$G)</f>
        <v>0</v>
      </c>
      <c r="CT22" s="38">
        <f>SUMIF('Rig 208'!$B:$B,Lists!$A$17,'Rig 208'!$H:$H)</f>
        <v>0</v>
      </c>
      <c r="CU22" s="38">
        <f>SUMIF('Rig 208'!$B:$B,Lists!$A$17,'Rig 208'!$I:$I)</f>
        <v>0</v>
      </c>
      <c r="CV22" s="38">
        <f>SUMIF('Rig 208'!$B:$B,Lists!$A$18,'Rig 208'!$C:$C)</f>
        <v>0</v>
      </c>
      <c r="CW22" s="38">
        <f>SUMIF('Rig 208'!$B:$B,Lists!$A$18,'Rig 208'!$E:$E)</f>
        <v>0</v>
      </c>
      <c r="CX22" s="38">
        <f>SUMIF('Rig 208'!$B:$B,Lists!$A$18,'Rig 208'!$F:$F)</f>
        <v>0</v>
      </c>
      <c r="CY22" s="38">
        <f>SUMIF('Rig 208'!$B:$B,Lists!$A$18,'Rig 208'!$G:$G)</f>
        <v>0</v>
      </c>
      <c r="CZ22" s="38">
        <f>SUMIF('Rig 208'!$B:$B,Lists!$A$18,'Rig 208'!$H:$H)</f>
        <v>0</v>
      </c>
      <c r="DA22" s="38">
        <f>SUMIF('Rig 208'!$B:$B,Lists!$A$18,'Rig 208'!$I:$I)</f>
        <v>0</v>
      </c>
      <c r="DB22" s="38">
        <f>SUMIF('Rig 208'!$B:$B,Lists!$A$19,'Rig 208'!$C:$C)</f>
        <v>0</v>
      </c>
      <c r="DC22" s="38">
        <f>SUMIF('Rig 208'!$B:$B,Lists!$A$19,'Rig 208'!$E:$E)</f>
        <v>0</v>
      </c>
      <c r="DD22" s="38">
        <f>SUMIF('Rig 208'!$B:$B,Lists!$A$19,'Rig 208'!$F:$F)</f>
        <v>0</v>
      </c>
      <c r="DE22" s="38">
        <f>SUMIF('Rig 208'!$B:$B,Lists!$A$19,'Rig 208'!$G:$G)</f>
        <v>0</v>
      </c>
      <c r="DF22" s="38">
        <f>SUMIF('Rig 208'!$B:$B,Lists!$A$19,'Rig 208'!$H:$H)</f>
        <v>0</v>
      </c>
      <c r="DG22" s="38">
        <f>SUMIF('Rig 208'!$B:$B,Lists!$A$19,'Rig 208'!$I:$I)</f>
        <v>0</v>
      </c>
      <c r="DH22" s="38">
        <f>SUMIF('Rig 208'!$B:$B,Lists!$A$20,'Rig 208'!$C:$C)</f>
        <v>0</v>
      </c>
      <c r="DI22" s="38">
        <f>SUMIF('Rig 208'!$B:$B,Lists!$A$20,'Rig 208'!$E:$E)</f>
        <v>0</v>
      </c>
      <c r="DJ22" s="38">
        <f>SUMIF('Rig 208'!$B:$B,Lists!$A$20,'Rig 208'!$F:$F)</f>
        <v>0</v>
      </c>
      <c r="DK22" s="38">
        <f>SUMIF('Rig 208'!$B:$B,Lists!$A$20,'Rig 208'!$G:$G)</f>
        <v>0</v>
      </c>
      <c r="DL22" s="38">
        <f>SUMIF('Rig 208'!$B:$B,Lists!$A$20,'Rig 208'!$H:$H)</f>
        <v>0</v>
      </c>
      <c r="DM22" s="38">
        <f>SUMIF('Rig 208'!$B:$B,Lists!$A$20,'Rig 208'!$I:$I)</f>
        <v>0</v>
      </c>
      <c r="DN22" s="38">
        <f>SUMIF('Rig 208'!$B:$B,Lists!$A$21,'Rig 208'!$C:$C)</f>
        <v>45</v>
      </c>
      <c r="DO22" s="38">
        <f>SUMIF('Rig 208'!$B:$B,Lists!$A$21,'Rig 208'!$E:$E)</f>
        <v>0</v>
      </c>
      <c r="DP22" s="38">
        <f>SUMIF('Rig 208'!$B:$B,Lists!$A$21,'Rig 208'!$F:$F)</f>
        <v>0</v>
      </c>
      <c r="DQ22" s="38">
        <f>SUMIF('Rig 208'!$B:$B,Lists!$A$21,'Rig 208'!$G:$G)</f>
        <v>0</v>
      </c>
      <c r="DR22" s="38">
        <f>SUMIF('Rig 208'!$B:$B,Lists!$A$21,'Rig 208'!$H:$H)</f>
        <v>0</v>
      </c>
      <c r="DS22" s="38">
        <f>SUMIF('Rig 208'!$B:$B,Lists!$A$21,'Rig 208'!$I:$I)</f>
        <v>0</v>
      </c>
      <c r="DT22" s="38">
        <f>SUMIF('Rig 208'!$B:$B,Lists!$A$22,'Rig 208'!$C:$C)</f>
        <v>9</v>
      </c>
      <c r="DU22" s="38">
        <f>SUMIF('Rig 208'!$B:$B,Lists!$A$22,'Rig 208'!$E:$E)</f>
        <v>0</v>
      </c>
      <c r="DV22" s="38">
        <f>SUMIF('Rig 208'!$B:$B,Lists!$A$22,'Rig 208'!$F:$F)</f>
        <v>0</v>
      </c>
      <c r="DW22" s="38">
        <f>SUMIF('Rig 208'!$B:$B,Lists!$A$22,'Rig 208'!$G:$G)</f>
        <v>0</v>
      </c>
      <c r="DX22" s="38">
        <f>SUMIF('Rig 208'!$B:$B,Lists!$A$22,'Rig 208'!$H:$H)</f>
        <v>0</v>
      </c>
      <c r="DY22" s="38">
        <f>SUMIF('Rig 208'!$B:$B,Lists!$A$22,'Rig 208'!$I:$I)</f>
        <v>0</v>
      </c>
      <c r="DZ22" s="38">
        <f>SUMIF('Rig 208'!$B:$B,Lists!$A$23,'Rig 208'!$C:$C)</f>
        <v>24</v>
      </c>
      <c r="EA22" s="38">
        <f>SUMIF('Rig 208'!$B:$B,Lists!$A$23,'Rig 208'!$E:$E)</f>
        <v>0</v>
      </c>
      <c r="EB22" s="38">
        <f>SUMIF('Rig 208'!$B:$B,Lists!$A$23,'Rig 208'!$F:$F)</f>
        <v>0</v>
      </c>
      <c r="EC22" s="38">
        <f>SUMIF('Rig 208'!$B:$B,Lists!$A$23,'Rig 208'!$G:$G)</f>
        <v>0</v>
      </c>
      <c r="ED22" s="38">
        <f>SUMIF('Rig 208'!$B:$B,Lists!$A$23,'Rig 208'!$H:$H)</f>
        <v>0</v>
      </c>
      <c r="EE22" s="38">
        <f>SUMIF('Rig 208'!$B:$B,Lists!$A$23,'Rig 208'!$I:$I)</f>
        <v>0</v>
      </c>
      <c r="EF22" s="38">
        <f>SUMIF('Rig 208'!$B:$B,Lists!$A$24,'Rig 208'!$C:$C)</f>
        <v>0</v>
      </c>
      <c r="EG22" s="38">
        <f>SUMIF('Rig 208'!$B:$B,Lists!$A$24,'Rig 208'!$E:$E)</f>
        <v>0</v>
      </c>
      <c r="EH22" s="38">
        <f>SUMIF('Rig 208'!$B:$B,Lists!$A$24,'Rig 208'!$F:$F)</f>
        <v>0</v>
      </c>
      <c r="EI22" s="38">
        <f>SUMIF('Rig 208'!$B:$B,Lists!$A$24,'Rig 208'!$G:$G)</f>
        <v>0</v>
      </c>
      <c r="EJ22" s="38">
        <f>SUMIF('Rig 208'!$B:$B,Lists!$A$24,'Rig 208'!$H:$H)</f>
        <v>0</v>
      </c>
      <c r="EK22" s="38">
        <f>SUMIF('Rig 208'!$B:$B,Lists!$A$24,'Rig 208'!$I:$I)</f>
        <v>0</v>
      </c>
      <c r="EL22" s="38">
        <f>SUMIF('Rig 208'!$B:$B,Lists!$A$25,'Rig 208'!$C:$C)</f>
        <v>0</v>
      </c>
      <c r="EM22" s="38">
        <f>SUMIF('Rig 208'!$B:$B,Lists!$A$25,'Rig 208'!$E:$E)</f>
        <v>0</v>
      </c>
      <c r="EN22" s="38">
        <f>SUMIF('Rig 208'!$B:$B,Lists!$A$25,'Rig 208'!$F:$F)</f>
        <v>0</v>
      </c>
      <c r="EO22" s="38">
        <f>SUMIF('Rig 208'!$B:$B,Lists!$A$25,'Rig 208'!$G:$G)</f>
        <v>0</v>
      </c>
      <c r="EP22" s="38">
        <f>SUMIF('Rig 208'!$B:$B,Lists!$A$25,'Rig 208'!$H:$H)</f>
        <v>0</v>
      </c>
      <c r="EQ22" s="38">
        <f>SUMIF('Rig 208'!$B:$B,Lists!$A$25,'Rig 208'!$I:$I)</f>
        <v>0</v>
      </c>
      <c r="ER22" s="38">
        <f>SUMIF('Rig 208'!$B:$B,Lists!$A$26,'Rig 208'!$C:$C)</f>
        <v>0</v>
      </c>
      <c r="ES22" s="38">
        <f>SUMIF('Rig 208'!$B:$B,Lists!$A$26,'Rig 208'!$E:$E)</f>
        <v>0</v>
      </c>
      <c r="ET22" s="38">
        <f>SUMIF('Rig 208'!$B:$B,Lists!$A$26,'Rig 208'!$F:$F)</f>
        <v>0</v>
      </c>
      <c r="EU22" s="38">
        <f>SUMIF('Rig 208'!$B:$B,Lists!$A$26,'Rig 208'!$G:$G)</f>
        <v>0</v>
      </c>
      <c r="EV22" s="38">
        <f>SUMIF('Rig 208'!$B:$B,Lists!$A$26,'Rig 208'!$H:$H)</f>
        <v>0</v>
      </c>
      <c r="EW22" s="38">
        <f>SUMIF('Rig 208'!$B:$B,Lists!$A$26,'Rig 208'!$I:$I)</f>
        <v>0</v>
      </c>
      <c r="EX22" s="38">
        <f>SUMIF('Rig 208'!$B:$B,Lists!$A$27,'Rig 208'!$C:$C)</f>
        <v>0</v>
      </c>
      <c r="EY22" s="38">
        <f>SUMIF('Rig 208'!$B:$B,Lists!$A$27,'Rig 208'!$E:$E)</f>
        <v>0</v>
      </c>
      <c r="EZ22" s="38">
        <f>SUMIF('Rig 208'!$B:$B,Lists!$A$27,'Rig 208'!$F:$F)</f>
        <v>0</v>
      </c>
      <c r="FA22" s="38">
        <f>SUMIF('Rig 208'!$B:$B,Lists!$A$27,'Rig 208'!$G:$G)</f>
        <v>0</v>
      </c>
      <c r="FB22" s="38">
        <f>SUMIF('Rig 208'!$B:$B,Lists!$A$27,'Rig 208'!$H:$H)</f>
        <v>0</v>
      </c>
      <c r="FC22" s="38">
        <f>SUMIF('Rig 208'!$B:$B,Lists!$A$27,'Rig 208'!$I:$I)</f>
        <v>0</v>
      </c>
      <c r="FD22" s="38">
        <f>SUMIF('Rig 208'!$B:$B,Lists!$A$28,'Rig 208'!$C:$C)</f>
        <v>0</v>
      </c>
      <c r="FE22" s="38">
        <f>SUMIF('Rig 208'!$B:$B,Lists!$A$28,'Rig 208'!$E:$E)</f>
        <v>0</v>
      </c>
      <c r="FF22" s="38">
        <f>SUMIF('Rig 208'!$B:$B,Lists!$A$28,'Rig 208'!$F:$F)</f>
        <v>0</v>
      </c>
      <c r="FG22" s="38">
        <f>SUMIF('Rig 208'!$B:$B,Lists!$A$28,'Rig 208'!$G:$G)</f>
        <v>0</v>
      </c>
      <c r="FH22" s="38">
        <f>SUMIF('Rig 208'!$B:$B,Lists!$A$28,'Rig 208'!$H:$H)</f>
        <v>0</v>
      </c>
      <c r="FI22" s="38">
        <f>SUMIF('Rig 208'!$B:$B,Lists!$A$28,'Rig 208'!$I:$I)</f>
        <v>0</v>
      </c>
      <c r="FJ22" s="38">
        <f>SUMIF('Rig 208'!$B:$B,Lists!$A$29,'Rig 208'!$C:$C)</f>
        <v>24</v>
      </c>
      <c r="FK22" s="38">
        <f>SUMIF('Rig 208'!$B:$B,Lists!$A$29,'Rig 208'!$E:$E)</f>
        <v>0</v>
      </c>
      <c r="FL22" s="38">
        <f>SUMIF('Rig 208'!$B:$B,Lists!$A$29,'Rig 208'!$F:$F)</f>
        <v>0</v>
      </c>
      <c r="FM22" s="38">
        <f>SUMIF('Rig 208'!$B:$B,Lists!$A$29,'Rig 208'!$G:$G)</f>
        <v>0</v>
      </c>
      <c r="FN22" s="38">
        <f>SUMIF('Rig 208'!$B:$B,Lists!$A$29,'Rig 208'!$H:$H)</f>
        <v>0</v>
      </c>
      <c r="FO22" s="38">
        <f>SUMIF('Rig 208'!$B:$B,Lists!$A$29,'Rig 208'!$I:$I)</f>
        <v>0</v>
      </c>
      <c r="FP22" s="38">
        <f>SUMIF('Rig 208'!$B:$B,Lists!$A$30,'Rig 208'!$C:$C)</f>
        <v>0</v>
      </c>
      <c r="FQ22" s="38">
        <f>SUMIF('Rig 208'!$B:$B,Lists!$A$30,'Rig 208'!$E:$E)</f>
        <v>0</v>
      </c>
      <c r="FR22" s="38">
        <f>SUMIF('Rig 208'!$B:$B,Lists!$A$30,'Rig 208'!$F:$F)</f>
        <v>0</v>
      </c>
      <c r="FS22" s="38">
        <f>SUMIF('Rig 208'!$B:$B,Lists!$A$30,'Rig 208'!$G:$G)</f>
        <v>0</v>
      </c>
      <c r="FT22" s="38">
        <f>SUMIF('Rig 208'!$B:$B,Lists!$A$30,'Rig 208'!$H:$H)</f>
        <v>0</v>
      </c>
      <c r="FU22" s="38">
        <f>SUMIF('Rig 208'!$B:$B,Lists!$A$30,'Rig 208'!$I:$I)</f>
        <v>0</v>
      </c>
      <c r="FV22" s="38">
        <f>SUMIF('Rig 208'!$B:$B,Lists!$A$31,'Rig 208'!$C:$C)</f>
        <v>0</v>
      </c>
      <c r="FW22" s="38">
        <f>SUMIF('Rig 208'!$B:$B,Lists!$A$31,'Rig 208'!$E:$E)</f>
        <v>0</v>
      </c>
      <c r="FX22" s="38">
        <f>SUMIF('Rig 208'!$B:$B,Lists!$A$31,'Rig 208'!$F:$F)</f>
        <v>0</v>
      </c>
      <c r="FY22" s="38">
        <f>SUMIF('Rig 208'!$B:$B,Lists!$A$31,'Rig 208'!$G:$G)</f>
        <v>0</v>
      </c>
      <c r="FZ22" s="38">
        <f>SUMIF('Rig 208'!$B:$B,Lists!$A$31,'Rig 208'!$H:$H)</f>
        <v>0</v>
      </c>
      <c r="GA22" s="38">
        <f>SUMIF('Rig 208'!$B:$B,Lists!$A$31,'Rig 208'!$I:$I)</f>
        <v>0</v>
      </c>
      <c r="GB22" s="38">
        <f>SUMIF('Rig 208'!$B:$B,Lists!$A$32,'Rig 208'!$C:$C)</f>
        <v>0</v>
      </c>
      <c r="GC22" s="38">
        <f>SUMIF('Rig 208'!$B:$B,Lists!$A$32,'Rig 208'!$E:$E)</f>
        <v>0</v>
      </c>
      <c r="GD22" s="38">
        <f>SUMIF('Rig 208'!$B:$B,Lists!$A$32,'Rig 208'!$F:$F)</f>
        <v>0</v>
      </c>
      <c r="GE22" s="38">
        <f>SUMIF('Rig 208'!$B:$B,Lists!$A$32,'Rig 208'!$G:$G)</f>
        <v>0</v>
      </c>
      <c r="GF22" s="38">
        <f>SUMIF('Rig 208'!$B:$B,Lists!$A$32,'Rig 208'!$H:$H)</f>
        <v>0</v>
      </c>
      <c r="GG22" s="38">
        <f>SUMIF('Rig 208'!$B:$B,Lists!$A$32,'Rig 208'!$I:$I)</f>
        <v>0</v>
      </c>
      <c r="GH22" s="38">
        <f>SUMIF('Rig 208'!$B:$B,Lists!$A$33,'Rig 208'!$C:$C)</f>
        <v>0</v>
      </c>
      <c r="GI22" s="38">
        <f>SUMIF('Rig 208'!$B:$B,Lists!$A$33,'Rig 208'!$E:$E)</f>
        <v>0</v>
      </c>
      <c r="GJ22" s="38">
        <f>SUMIF('Rig 208'!$B:$B,Lists!$A$33,'Rig 208'!$F:$F)</f>
        <v>0</v>
      </c>
      <c r="GK22" s="38">
        <f>SUMIF('Rig 208'!$B:$B,Lists!$A$33,'Rig 208'!$G:$G)</f>
        <v>0</v>
      </c>
      <c r="GL22" s="38">
        <f>SUMIF('Rig 208'!$B:$B,Lists!$A$33,'Rig 208'!$H:$H)</f>
        <v>0</v>
      </c>
      <c r="GM22" s="38">
        <f>SUMIF('Rig 208'!$B:$B,Lists!$A$33,'Rig 208'!$I:$I)</f>
        <v>0</v>
      </c>
      <c r="GN22" s="38">
        <f>SUMIF('Rig 208'!$B:$B,Lists!$A$34,'Rig 208'!$C:$C)</f>
        <v>1</v>
      </c>
      <c r="GO22" s="38">
        <f>SUMIF('Rig 208'!$B:$B,Lists!$A$34,'Rig 208'!$E:$E)</f>
        <v>0</v>
      </c>
      <c r="GP22" s="38">
        <f>SUMIF('Rig 208'!$B:$B,Lists!$A$34,'Rig 208'!$F:$F)</f>
        <v>0</v>
      </c>
      <c r="GQ22" s="38">
        <f>SUMIF('Rig 208'!$B:$B,Lists!$A$34,'Rig 208'!$G:$G)</f>
        <v>0</v>
      </c>
      <c r="GR22" s="38">
        <f>SUMIF('Rig 208'!$B:$B,Lists!$A$34,'Rig 208'!$H:$H)</f>
        <v>0</v>
      </c>
      <c r="GS22" s="38">
        <f>SUMIF('Rig 208'!$B:$B,Lists!$A$34,'Rig 208'!$I:$I)</f>
        <v>0</v>
      </c>
      <c r="GT22" s="38">
        <f>SUMIF('Rig 208'!$B:$B,Lists!$A$35,'Rig 208'!$C:$C)</f>
        <v>0</v>
      </c>
      <c r="GU22" s="38">
        <f>SUMIF('Rig 208'!$B:$B,Lists!$A$35,'Rig 208'!$E:$E)</f>
        <v>0</v>
      </c>
      <c r="GV22" s="38">
        <f>SUMIF('Rig 208'!$B:$B,Lists!$A$35,'Rig 208'!$F:$F)</f>
        <v>0</v>
      </c>
      <c r="GW22" s="38">
        <f>SUMIF('Rig 208'!$B:$B,Lists!$A$35,'Rig 208'!$G:$G)</f>
        <v>0</v>
      </c>
      <c r="GX22" s="38">
        <f>SUMIF('Rig 208'!$B:$B,Lists!$A$35,'Rig 208'!$H:$H)</f>
        <v>0</v>
      </c>
      <c r="GY22" s="38">
        <f>SUMIF('Rig 208'!$B:$B,Lists!$A$35,'Rig 208'!$I:$I)</f>
        <v>0</v>
      </c>
      <c r="GZ22" s="38">
        <f>SUMIF('Rig 208'!$B:$B,Lists!$A$36,'Rig 208'!$C:$C)</f>
        <v>0</v>
      </c>
      <c r="HA22" s="38">
        <f>SUMIF('Rig 208'!$B:$B,Lists!$A$36,'Rig 208'!$E:$E)</f>
        <v>0</v>
      </c>
      <c r="HB22" s="38">
        <f>SUMIF('Rig 208'!$B:$B,Lists!$A$36,'Rig 208'!$F:$F)</f>
        <v>0</v>
      </c>
      <c r="HC22" s="38">
        <f>SUMIF('Rig 208'!$B:$B,Lists!$A$36,'Rig 208'!$G:$G)</f>
        <v>0</v>
      </c>
      <c r="HD22" s="38">
        <f>SUMIF('Rig 208'!$B:$B,Lists!$A$36,'Rig 208'!$H:$H)</f>
        <v>0</v>
      </c>
      <c r="HE22" s="38">
        <f>SUMIF('Rig 208'!$B:$B,Lists!$A$36,'Rig 208'!$I:$I)</f>
        <v>0</v>
      </c>
      <c r="HF22" s="38">
        <f>SUMIF('Rig 208'!$B:$B,Lists!$A$37,'Rig 208'!$C:$C)</f>
        <v>0</v>
      </c>
      <c r="HG22" s="38">
        <f>SUMIF('Rig 208'!$B:$B,Lists!$A$37,'Rig 208'!$E:$E)</f>
        <v>0</v>
      </c>
      <c r="HH22" s="38">
        <f>SUMIF('Rig 208'!$B:$B,Lists!$A$37,'Rig 208'!$F:$F)</f>
        <v>0</v>
      </c>
      <c r="HI22" s="38">
        <f>SUMIF('Rig 208'!$B:$B,Lists!$A$37,'Rig 208'!$G:$G)</f>
        <v>0</v>
      </c>
      <c r="HJ22" s="38">
        <f>SUMIF('Rig 208'!$B:$B,Lists!$A$37,'Rig 208'!$H:$H)</f>
        <v>0</v>
      </c>
      <c r="HK22" s="38">
        <f>SUMIF('Rig 208'!$B:$B,Lists!$A$37,'Rig 208'!$I:$I)</f>
        <v>0</v>
      </c>
      <c r="HL22" s="38">
        <f>SUMIF('Rig 208'!$B:$B,Lists!$A$38,'Rig 208'!$C:$C)</f>
        <v>0</v>
      </c>
      <c r="HM22" s="38">
        <f>SUMIF('Rig 208'!$B:$B,Lists!$A$38,'Rig 208'!$E:$E)</f>
        <v>0</v>
      </c>
      <c r="HN22" s="38">
        <f>SUMIF('Rig 208'!$B:$B,Lists!$A$38,'Rig 208'!$F:$F)</f>
        <v>0</v>
      </c>
      <c r="HO22" s="38">
        <f>SUMIF('Rig 208'!$B:$B,Lists!$A$38,'Rig 208'!$G:$G)</f>
        <v>0</v>
      </c>
      <c r="HP22" s="38">
        <f>SUMIF('Rig 208'!$B:$B,Lists!$A$38,'Rig 208'!$H:$H)</f>
        <v>0</v>
      </c>
      <c r="HQ22" s="38">
        <f>SUMIF('Rig 208'!$B:$B,Lists!$A$38,'Rig 208'!$I:$I)</f>
        <v>0</v>
      </c>
      <c r="HR22" s="38">
        <f>SUMIF('Rig 208'!$B:$B,Lists!$A$39,'Rig 208'!$C:$C)</f>
        <v>1</v>
      </c>
      <c r="HS22" s="38">
        <f>SUMIF('Rig 208'!$B:$B,Lists!$A$39,'Rig 208'!$E:$E)</f>
        <v>0</v>
      </c>
      <c r="HT22" s="38">
        <f>SUMIF('Rig 208'!$B:$B,Lists!$A$39,'Rig 208'!$F:$F)</f>
        <v>0</v>
      </c>
      <c r="HU22" s="38">
        <f>SUMIF('Rig 208'!$B:$B,Lists!$A$39,'Rig 208'!$G:$G)</f>
        <v>0</v>
      </c>
      <c r="HV22" s="38">
        <f>SUMIF('Rig 208'!$B:$B,Lists!$A$39,'Rig 208'!$H:$H)</f>
        <v>0</v>
      </c>
      <c r="HW22" s="38">
        <f>SUMIF('Rig 208'!$B:$B,Lists!$A$39,'Rig 208'!$I:$I)</f>
        <v>0</v>
      </c>
      <c r="HX22" s="38">
        <f>SUMIF('Rig 208'!$B:$B,Lists!$A$40,'Rig 208'!$C:$C)</f>
        <v>0</v>
      </c>
      <c r="HY22" s="38">
        <f>SUMIF('Rig 208'!$B:$B,Lists!$A$40,'Rig 208'!$E:$E)</f>
        <v>0</v>
      </c>
      <c r="HZ22" s="38">
        <f>SUMIF('Rig 208'!$B:$B,Lists!$A$40,'Rig 208'!$F:$F)</f>
        <v>0</v>
      </c>
      <c r="IA22" s="38">
        <f>SUMIF('Rig 208'!$B:$B,Lists!$A$40,'Rig 208'!$G:$G)</f>
        <v>0</v>
      </c>
      <c r="IB22" s="38">
        <f>SUMIF('Rig 208'!$B:$B,Lists!$A$40,'Rig 208'!$H:$H)</f>
        <v>0</v>
      </c>
      <c r="IC22" s="38">
        <f>SUMIF('Rig 208'!$B:$B,Lists!$A$40,'Rig 208'!$I:$I)</f>
        <v>0</v>
      </c>
      <c r="ID22" s="38">
        <f>SUMIF('Rig 208'!$B:$B,Lists!$A$41,'Rig 208'!$C:$C)</f>
        <v>0</v>
      </c>
      <c r="IE22" s="38">
        <f>SUMIF('Rig 208'!$B:$B,Lists!$A$41,'Rig 208'!$E:$E)</f>
        <v>0</v>
      </c>
      <c r="IF22" s="38">
        <f>SUMIF('Rig 208'!$B:$B,Lists!$A$41,'Rig 208'!$F:$F)</f>
        <v>0</v>
      </c>
      <c r="IG22" s="38">
        <f>SUMIF('Rig 208'!$B:$B,Lists!$A$41,'Rig 208'!$G:$G)</f>
        <v>0</v>
      </c>
      <c r="IH22" s="38">
        <f>SUMIF('Rig 208'!$B:$B,Lists!$A$41,'Rig 208'!$H:$H)</f>
        <v>0</v>
      </c>
      <c r="II22" s="38">
        <f>SUMIF('Rig 208'!$B:$B,Lists!$A$41,'Rig 208'!$I:$I)</f>
        <v>0</v>
      </c>
    </row>
    <row r="23" spans="1:243" ht="19.5" customHeight="1" x14ac:dyDescent="0.3">
      <c r="A23" s="31" t="s">
        <v>94</v>
      </c>
      <c r="B23" s="32">
        <f>'Rig 209'!D2</f>
        <v>46173</v>
      </c>
      <c r="C23" s="33" t="s">
        <v>77</v>
      </c>
      <c r="D23" s="34">
        <f>SUMIF('Rig 209'!$B:$B,Lists!$A$2,'Rig 209'!$C:$C)</f>
        <v>0</v>
      </c>
      <c r="E23" s="34">
        <f>SUMIF('Rig 209'!$B:$B,Lists!$A$2,'Rig 209'!$E:$E)</f>
        <v>0</v>
      </c>
      <c r="F23" s="34">
        <f>SUMIF('Rig 209'!$B:$B,Lists!$A$2,'Rig 209'!$F:$F)</f>
        <v>0</v>
      </c>
      <c r="G23" s="34">
        <f>SUMIF('Rig 209'!$B:$B,Lists!$A$2,'Rig 209'!$G:$G)</f>
        <v>0</v>
      </c>
      <c r="H23" s="34">
        <f>SUMIF('Rig 209'!$B:$B,Lists!$A$2,'Rig 209'!$H:$H)</f>
        <v>0</v>
      </c>
      <c r="I23" s="34">
        <f>SUMIF('Rig 209'!$B:$B,Lists!$A$2,'Rig 209'!$I:$I)</f>
        <v>0</v>
      </c>
      <c r="J23" s="34">
        <f>SUMIF('Rig 209'!$B:$B,Lists!$A$3,'Rig 209'!$C:$C)</f>
        <v>0</v>
      </c>
      <c r="K23" s="34">
        <f>SUMIF('Rig 209'!$B:$B,Lists!$A$3,'Rig 209'!$E:$E)</f>
        <v>0</v>
      </c>
      <c r="L23" s="34">
        <f>SUMIF('Rig 209'!$B:$B,Lists!$A$3,'Rig 209'!$F:$F)</f>
        <v>0</v>
      </c>
      <c r="M23" s="34">
        <f>SUMIF('Rig 209'!$B:$B,Lists!$A$3,'Rig 209'!$G:$G)</f>
        <v>0</v>
      </c>
      <c r="N23" s="34">
        <f>SUMIF('Rig 209'!$B:$B,Lists!$A$3,'Rig 209'!$H:$H)</f>
        <v>0</v>
      </c>
      <c r="O23" s="34">
        <f>SUMIF('Rig 209'!$B:$B,Lists!$A$3,'Rig 209'!$I:$I)</f>
        <v>0</v>
      </c>
      <c r="P23" s="34">
        <f>SUMIF('Rig 209'!$B:$B,Lists!$A$4,'Rig 209'!$C:$C)</f>
        <v>0</v>
      </c>
      <c r="Q23" s="34">
        <f>SUMIF('Rig 209'!$B:$B,Lists!$A$4,'Rig 209'!$E:$E)</f>
        <v>0</v>
      </c>
      <c r="R23" s="34">
        <f>SUMIF('Rig 209'!$B:$B,Lists!$A$4,'Rig 209'!$F:$F)</f>
        <v>0</v>
      </c>
      <c r="S23" s="34">
        <f>SUMIF('Rig 209'!$B:$B,Lists!$A$4,'Rig 209'!$G:$G)</f>
        <v>0</v>
      </c>
      <c r="T23" s="34">
        <f>SUMIF('Rig 209'!$B:$B,Lists!$A$4,'Rig 209'!$H:$H)</f>
        <v>0</v>
      </c>
      <c r="U23" s="34">
        <f>SUMIF('Rig 209'!$B:$B,Lists!$A$4,'Rig 209'!$I:$I)</f>
        <v>0</v>
      </c>
      <c r="V23" s="34">
        <f>SUMIF('Rig 209'!$B:$B,Lists!$A$5,'Rig 209'!$C:$C)</f>
        <v>0</v>
      </c>
      <c r="W23" s="34">
        <f>SUMIF('Rig 209'!$B:$B,Lists!$A$5,'Rig 209'!$E:$E)</f>
        <v>0</v>
      </c>
      <c r="X23" s="34">
        <f>SUMIF('Rig 209'!$B:$B,Lists!$A$5,'Rig 209'!$F:$F)</f>
        <v>0</v>
      </c>
      <c r="Y23" s="34">
        <f>SUMIF('Rig 209'!$B:$B,Lists!$A$5,'Rig 209'!$G:$G)</f>
        <v>0</v>
      </c>
      <c r="Z23" s="34">
        <f>SUMIF('Rig 209'!$B:$B,Lists!$A$5,'Rig 209'!$H:$H)</f>
        <v>0</v>
      </c>
      <c r="AA23" s="34">
        <f>SUMIF('Rig 209'!$B:$B,Lists!$A$5,'Rig 209'!$I:$I)</f>
        <v>0</v>
      </c>
      <c r="AB23" s="34">
        <f>SUMIF('Rig 209'!$B:$B,Lists!$A$6,'Rig 209'!$C:$C)</f>
        <v>0</v>
      </c>
      <c r="AC23" s="34">
        <f>SUMIF('Rig 209'!$B:$B,Lists!$A$6,'Rig 209'!$E:$E)</f>
        <v>0</v>
      </c>
      <c r="AD23" s="34">
        <f>SUMIF('Rig 209'!$B:$B,Lists!$A$6,'Rig 209'!$F:$F)</f>
        <v>0</v>
      </c>
      <c r="AE23" s="34">
        <f>SUMIF('Rig 209'!$B:$B,Lists!$A$6,'Rig 209'!$G:$G)</f>
        <v>0</v>
      </c>
      <c r="AF23" s="34">
        <f>SUMIF('Rig 209'!$B:$B,Lists!$A$6,'Rig 209'!$H:$H)</f>
        <v>0</v>
      </c>
      <c r="AG23" s="34">
        <f>SUMIF('Rig 209'!$B:$B,Lists!$A$6,'Rig 209'!$I:$I)</f>
        <v>0</v>
      </c>
      <c r="AH23" s="34">
        <f>SUMIF('Rig 209'!$B:$B,Lists!$A$7,'Rig 209'!$C:$C)</f>
        <v>0</v>
      </c>
      <c r="AI23" s="34">
        <f>SUMIF('Rig 209'!$B:$B,Lists!$A$7,'Rig 209'!$E:$E)</f>
        <v>0</v>
      </c>
      <c r="AJ23" s="34">
        <f>SUMIF('Rig 209'!$B:$B,Lists!$A$7,'Rig 209'!$F:$F)</f>
        <v>0</v>
      </c>
      <c r="AK23" s="34">
        <f>SUMIF('Rig 209'!$B:$B,Lists!$A$7,'Rig 209'!$G:$G)</f>
        <v>0</v>
      </c>
      <c r="AL23" s="34">
        <f>SUMIF('Rig 209'!$B:$B,Lists!$A$7,'Rig 209'!$H:$H)</f>
        <v>0</v>
      </c>
      <c r="AM23" s="34">
        <f>SUMIF('Rig 209'!$B:$B,Lists!$A$7,'Rig 209'!$I:$I)</f>
        <v>0</v>
      </c>
      <c r="AN23" s="34">
        <f>SUMIF('Rig 209'!$B:$B,Lists!$A$8,'Rig 209'!$C:$C)</f>
        <v>0</v>
      </c>
      <c r="AO23" s="34">
        <f>SUMIF('Rig 209'!$B:$B,Lists!$A$8,'Rig 209'!$E:$E)</f>
        <v>0</v>
      </c>
      <c r="AP23" s="34">
        <f>SUMIF('Rig 209'!$B:$B,Lists!$A$8,'Rig 209'!$F:$F)</f>
        <v>0</v>
      </c>
      <c r="AQ23" s="34">
        <f>SUMIF('Rig 209'!$B:$B,Lists!$A$8,'Rig 209'!$G:$G)</f>
        <v>0</v>
      </c>
      <c r="AR23" s="34">
        <f>SUMIF('Rig 209'!$B:$B,Lists!$A$8,'Rig 209'!$H:$H)</f>
        <v>0</v>
      </c>
      <c r="AS23" s="34">
        <f>SUMIF('Rig 209'!$B:$B,Lists!$A$8,'Rig 209'!$I:$I)</f>
        <v>0</v>
      </c>
      <c r="AT23" s="34">
        <f>SUMIF('Rig 209'!$B:$B,Lists!$A$9,'Rig 209'!$C:$C)</f>
        <v>0</v>
      </c>
      <c r="AU23" s="34">
        <f>SUMIF('Rig 209'!$B:$B,Lists!$A$9,'Rig 209'!$E:$E)</f>
        <v>0</v>
      </c>
      <c r="AV23" s="34">
        <f>SUMIF('Rig 209'!$B:$B,Lists!$A$9,'Rig 209'!$F:$F)</f>
        <v>0</v>
      </c>
      <c r="AW23" s="34">
        <f>SUMIF('Rig 209'!$B:$B,Lists!$A$9,'Rig 209'!$G:$G)</f>
        <v>0</v>
      </c>
      <c r="AX23" s="34">
        <f>SUMIF('Rig 209'!$B:$B,Lists!$A$9,'Rig 209'!$H:$H)</f>
        <v>0</v>
      </c>
      <c r="AY23" s="34">
        <f>SUMIF('Rig 209'!$B:$B,Lists!$A$9,'Rig 209'!$I:$I)</f>
        <v>0</v>
      </c>
      <c r="AZ23" s="34">
        <f>SUMIF('Rig 209'!$B:$B,Lists!$A$10,'Rig 209'!$C:$C)</f>
        <v>0</v>
      </c>
      <c r="BA23" s="34">
        <f>SUMIF('Rig 209'!$B:$B,Lists!$A$10,'Rig 209'!$E:$E)</f>
        <v>0</v>
      </c>
      <c r="BB23" s="34">
        <f>SUMIF('Rig 209'!$B:$B,Lists!$A$10,'Rig 209'!$F:$F)</f>
        <v>0</v>
      </c>
      <c r="BC23" s="34">
        <f>SUMIF('Rig 209'!$B:$B,Lists!$A$10,'Rig 209'!$G:$G)</f>
        <v>0</v>
      </c>
      <c r="BD23" s="34">
        <f>SUMIF('Rig 209'!$B:$B,Lists!$A$10,'Rig 209'!$H:$H)</f>
        <v>0</v>
      </c>
      <c r="BE23" s="34">
        <f>SUMIF('Rig 209'!$B:$B,Lists!$A$10,'Rig 209'!$I:$I)</f>
        <v>0</v>
      </c>
      <c r="BF23" s="34">
        <f>SUMIF('Rig 209'!$B:$B,Lists!$A$11,'Rig 209'!$C:$C)</f>
        <v>0</v>
      </c>
      <c r="BG23" s="34">
        <f>SUMIF('Rig 209'!$B:$B,Lists!$A$11,'Rig 209'!$E:$E)</f>
        <v>0</v>
      </c>
      <c r="BH23" s="34">
        <f>SUMIF('Rig 209'!$B:$B,Lists!$A$11,'Rig 209'!$F:$F)</f>
        <v>0</v>
      </c>
      <c r="BI23" s="34">
        <f>SUMIF('Rig 209'!$B:$B,Lists!$A$11,'Rig 209'!$G:$G)</f>
        <v>0</v>
      </c>
      <c r="BJ23" s="34">
        <f>SUMIF('Rig 209'!$B:$B,Lists!$A$11,'Rig 209'!$H:$H)</f>
        <v>0</v>
      </c>
      <c r="BK23" s="34">
        <f>SUMIF('Rig 209'!$B:$B,Lists!$A$11,'Rig 209'!$I:$I)</f>
        <v>0</v>
      </c>
      <c r="BL23" s="34">
        <f>SUMIF('Rig 209'!$B:$B,Lists!$A$12,'Rig 209'!$C:$C)</f>
        <v>0</v>
      </c>
      <c r="BM23" s="34">
        <f>SUMIF('Rig 209'!$B:$B,Lists!$A$12,'Rig 209'!$E:$E)</f>
        <v>0</v>
      </c>
      <c r="BN23" s="34">
        <f>SUMIF('Rig 209'!$B:$B,Lists!$A$12,'Rig 209'!$F:$F)</f>
        <v>0</v>
      </c>
      <c r="BO23" s="34">
        <f>SUMIF('Rig 209'!$B:$B,Lists!$A$12,'Rig 209'!$G:$G)</f>
        <v>0</v>
      </c>
      <c r="BP23" s="34">
        <f>SUMIF('Rig 209'!$B:$B,Lists!$A$12,'Rig 209'!$H:$H)</f>
        <v>0</v>
      </c>
      <c r="BQ23" s="34">
        <f>SUMIF('Rig 209'!$B:$B,Lists!$A$12,'Rig 209'!$I:$I)</f>
        <v>0</v>
      </c>
      <c r="BR23" s="34">
        <f>SUMIF('Rig 209'!$B:$B,Lists!$A$13,'Rig 209'!$C:$C)</f>
        <v>0</v>
      </c>
      <c r="BS23" s="34">
        <f>SUMIF('Rig 209'!$B:$B,Lists!$A$13,'Rig 209'!$E:$E)</f>
        <v>0</v>
      </c>
      <c r="BT23" s="34">
        <f>SUMIF('Rig 209'!$B:$B,Lists!$A$13,'Rig 209'!$F:$F)</f>
        <v>0</v>
      </c>
      <c r="BU23" s="34">
        <f>SUMIF('Rig 209'!$B:$B,Lists!$A$13,'Rig 209'!$G:$G)</f>
        <v>0</v>
      </c>
      <c r="BV23" s="34">
        <f>SUMIF('Rig 209'!$B:$B,Lists!$A$13,'Rig 209'!$H:$H)</f>
        <v>0</v>
      </c>
      <c r="BW23" s="34">
        <f>SUMIF('Rig 209'!$B:$B,Lists!$A$13,'Rig 209'!$I:$I)</f>
        <v>0</v>
      </c>
      <c r="BX23" s="34">
        <f>SUMIF('Rig 209'!$B:$B,Lists!$A$14,'Rig 209'!$C:$C)</f>
        <v>0</v>
      </c>
      <c r="BY23" s="34">
        <f>SUMIF('Rig 209'!$B:$B,Lists!$A$14,'Rig 209'!$E:$E)</f>
        <v>0</v>
      </c>
      <c r="BZ23" s="34">
        <f>SUMIF('Rig 209'!$B:$B,Lists!$A$14,'Rig 209'!$F:$F)</f>
        <v>0</v>
      </c>
      <c r="CA23" s="34">
        <f>SUMIF('Rig 209'!$B:$B,Lists!$A$14,'Rig 209'!$G:$G)</f>
        <v>0</v>
      </c>
      <c r="CB23" s="34">
        <f>SUMIF('Rig 209'!$B:$B,Lists!$A$14,'Rig 209'!$H:$H)</f>
        <v>0</v>
      </c>
      <c r="CC23" s="34">
        <f>SUMIF('Rig 209'!$B:$B,Lists!$A$14,'Rig 209'!$I:$I)</f>
        <v>0</v>
      </c>
      <c r="CD23" s="34">
        <f>SUMIF('Rig 209'!$B:$B,Lists!$A$15,'Rig 209'!$C:$C)</f>
        <v>0</v>
      </c>
      <c r="CE23" s="34">
        <f>SUMIF('Rig 209'!$B:$B,Lists!$A$15,'Rig 209'!$E:$E)</f>
        <v>0</v>
      </c>
      <c r="CF23" s="34">
        <f>SUMIF('Rig 209'!$B:$B,Lists!$A$15,'Rig 209'!$F:$F)</f>
        <v>0</v>
      </c>
      <c r="CG23" s="34">
        <f>SUMIF('Rig 209'!$B:$B,Lists!$A$15,'Rig 209'!$G:$G)</f>
        <v>0</v>
      </c>
      <c r="CH23" s="34">
        <f>SUMIF('Rig 209'!$B:$B,Lists!$A$15,'Rig 209'!$H:$H)</f>
        <v>0</v>
      </c>
      <c r="CI23" s="34">
        <f>SUMIF('Rig 209'!$B:$B,Lists!$A$15,'Rig 209'!$I:$I)</f>
        <v>0</v>
      </c>
      <c r="CJ23" s="34">
        <f>SUMIF('Rig 209'!$B:$B,Lists!$A$16,'Rig 209'!$C:$C)</f>
        <v>0</v>
      </c>
      <c r="CK23" s="34">
        <f>SUMIF('Rig 209'!$B:$B,Lists!$A$16,'Rig 209'!$E:$E)</f>
        <v>0</v>
      </c>
      <c r="CL23" s="34">
        <f>SUMIF('Rig 209'!$B:$B,Lists!$A$16,'Rig 209'!$F:$F)</f>
        <v>0</v>
      </c>
      <c r="CM23" s="34">
        <f>SUMIF('Rig 209'!$B:$B,Lists!$A$16,'Rig 209'!$G:$G)</f>
        <v>0</v>
      </c>
      <c r="CN23" s="34">
        <f>SUMIF('Rig 209'!$B:$B,Lists!$A$16,'Rig 209'!$H:$H)</f>
        <v>0</v>
      </c>
      <c r="CO23" s="34">
        <f>SUMIF('Rig 209'!$B:$B,Lists!$A$16,'Rig 209'!$I:$I)</f>
        <v>0</v>
      </c>
      <c r="CP23" s="34">
        <f>SUMIF('Rig 209'!$B:$B,Lists!$A$17,'Rig 209'!$C:$C)</f>
        <v>0</v>
      </c>
      <c r="CQ23" s="34">
        <f>SUMIF('Rig 209'!$B:$B,Lists!$A$17,'Rig 209'!$E:$E)</f>
        <v>0</v>
      </c>
      <c r="CR23" s="34">
        <f>SUMIF('Rig 209'!$B:$B,Lists!$A$17,'Rig 209'!$F:$F)</f>
        <v>0</v>
      </c>
      <c r="CS23" s="34">
        <f>SUMIF('Rig 209'!$B:$B,Lists!$A$17,'Rig 209'!$G:$G)</f>
        <v>0</v>
      </c>
      <c r="CT23" s="34">
        <f>SUMIF('Rig 209'!$B:$B,Lists!$A$17,'Rig 209'!$H:$H)</f>
        <v>0</v>
      </c>
      <c r="CU23" s="34">
        <f>SUMIF('Rig 209'!$B:$B,Lists!$A$17,'Rig 209'!$I:$I)</f>
        <v>0</v>
      </c>
      <c r="CV23" s="34">
        <f>SUMIF('Rig 209'!$B:$B,Lists!$A$18,'Rig 209'!$C:$C)</f>
        <v>0</v>
      </c>
      <c r="CW23" s="34">
        <f>SUMIF('Rig 209'!$B:$B,Lists!$A$18,'Rig 209'!$E:$E)</f>
        <v>0</v>
      </c>
      <c r="CX23" s="34">
        <f>SUMIF('Rig 209'!$B:$B,Lists!$A$18,'Rig 209'!$F:$F)</f>
        <v>0</v>
      </c>
      <c r="CY23" s="34">
        <f>SUMIF('Rig 209'!$B:$B,Lists!$A$18,'Rig 209'!$G:$G)</f>
        <v>0</v>
      </c>
      <c r="CZ23" s="34">
        <f>SUMIF('Rig 209'!$B:$B,Lists!$A$18,'Rig 209'!$H:$H)</f>
        <v>0</v>
      </c>
      <c r="DA23" s="34">
        <f>SUMIF('Rig 209'!$B:$B,Lists!$A$18,'Rig 209'!$I:$I)</f>
        <v>0</v>
      </c>
      <c r="DB23" s="34">
        <f>SUMIF('Rig 209'!$B:$B,Lists!$A$19,'Rig 209'!$C:$C)</f>
        <v>0</v>
      </c>
      <c r="DC23" s="34">
        <f>SUMIF('Rig 209'!$B:$B,Lists!$A$19,'Rig 209'!$E:$E)</f>
        <v>0</v>
      </c>
      <c r="DD23" s="34">
        <f>SUMIF('Rig 209'!$B:$B,Lists!$A$19,'Rig 209'!$F:$F)</f>
        <v>0</v>
      </c>
      <c r="DE23" s="34">
        <f>SUMIF('Rig 209'!$B:$B,Lists!$A$19,'Rig 209'!$G:$G)</f>
        <v>0</v>
      </c>
      <c r="DF23" s="34">
        <f>SUMIF('Rig 209'!$B:$B,Lists!$A$19,'Rig 209'!$H:$H)</f>
        <v>0</v>
      </c>
      <c r="DG23" s="34">
        <f>SUMIF('Rig 209'!$B:$B,Lists!$A$19,'Rig 209'!$I:$I)</f>
        <v>0</v>
      </c>
      <c r="DH23" s="34">
        <f>SUMIF('Rig 209'!$B:$B,Lists!$A$20,'Rig 209'!$C:$C)</f>
        <v>0</v>
      </c>
      <c r="DI23" s="34">
        <f>SUMIF('Rig 209'!$B:$B,Lists!$A$20,'Rig 209'!$E:$E)</f>
        <v>0</v>
      </c>
      <c r="DJ23" s="34">
        <f>SUMIF('Rig 209'!$B:$B,Lists!$A$20,'Rig 209'!$F:$F)</f>
        <v>0</v>
      </c>
      <c r="DK23" s="34">
        <f>SUMIF('Rig 209'!$B:$B,Lists!$A$20,'Rig 209'!$G:$G)</f>
        <v>0</v>
      </c>
      <c r="DL23" s="34">
        <f>SUMIF('Rig 209'!$B:$B,Lists!$A$20,'Rig 209'!$H:$H)</f>
        <v>0</v>
      </c>
      <c r="DM23" s="34">
        <f>SUMIF('Rig 209'!$B:$B,Lists!$A$20,'Rig 209'!$I:$I)</f>
        <v>0</v>
      </c>
      <c r="DN23" s="34">
        <f>SUMIF('Rig 209'!$B:$B,Lists!$A$21,'Rig 209'!$C:$C)</f>
        <v>0</v>
      </c>
      <c r="DO23" s="34">
        <f>SUMIF('Rig 209'!$B:$B,Lists!$A$21,'Rig 209'!$E:$E)</f>
        <v>0</v>
      </c>
      <c r="DP23" s="34">
        <f>SUMIF('Rig 209'!$B:$B,Lists!$A$21,'Rig 209'!$F:$F)</f>
        <v>0</v>
      </c>
      <c r="DQ23" s="34">
        <f>SUMIF('Rig 209'!$B:$B,Lists!$A$21,'Rig 209'!$G:$G)</f>
        <v>0</v>
      </c>
      <c r="DR23" s="34">
        <f>SUMIF('Rig 209'!$B:$B,Lists!$A$21,'Rig 209'!$H:$H)</f>
        <v>0</v>
      </c>
      <c r="DS23" s="34">
        <f>SUMIF('Rig 209'!$B:$B,Lists!$A$21,'Rig 209'!$I:$I)</f>
        <v>0</v>
      </c>
      <c r="DT23" s="34">
        <f>SUMIF('Rig 209'!$B:$B,Lists!$A$22,'Rig 209'!$C:$C)</f>
        <v>0</v>
      </c>
      <c r="DU23" s="34">
        <f>SUMIF('Rig 209'!$B:$B,Lists!$A$22,'Rig 209'!$E:$E)</f>
        <v>0</v>
      </c>
      <c r="DV23" s="34">
        <f>SUMIF('Rig 209'!$B:$B,Lists!$A$22,'Rig 209'!$F:$F)</f>
        <v>0</v>
      </c>
      <c r="DW23" s="34">
        <f>SUMIF('Rig 209'!$B:$B,Lists!$A$22,'Rig 209'!$G:$G)</f>
        <v>0</v>
      </c>
      <c r="DX23" s="34">
        <f>SUMIF('Rig 209'!$B:$B,Lists!$A$22,'Rig 209'!$H:$H)</f>
        <v>0</v>
      </c>
      <c r="DY23" s="34">
        <f>SUMIF('Rig 209'!$B:$B,Lists!$A$22,'Rig 209'!$I:$I)</f>
        <v>0</v>
      </c>
      <c r="DZ23" s="34">
        <f>SUMIF('Rig 209'!$B:$B,Lists!$A$23,'Rig 209'!$C:$C)</f>
        <v>0</v>
      </c>
      <c r="EA23" s="34">
        <f>SUMIF('Rig 209'!$B:$B,Lists!$A$23,'Rig 209'!$E:$E)</f>
        <v>0</v>
      </c>
      <c r="EB23" s="34">
        <f>SUMIF('Rig 209'!$B:$B,Lists!$A$23,'Rig 209'!$F:$F)</f>
        <v>0</v>
      </c>
      <c r="EC23" s="34">
        <f>SUMIF('Rig 209'!$B:$B,Lists!$A$23,'Rig 209'!$G:$G)</f>
        <v>0</v>
      </c>
      <c r="ED23" s="34">
        <f>SUMIF('Rig 209'!$B:$B,Lists!$A$23,'Rig 209'!$H:$H)</f>
        <v>0</v>
      </c>
      <c r="EE23" s="34">
        <f>SUMIF('Rig 209'!$B:$B,Lists!$A$23,'Rig 209'!$I:$I)</f>
        <v>0</v>
      </c>
      <c r="EF23" s="34">
        <f>SUMIF('Rig 209'!$B:$B,Lists!$A$24,'Rig 209'!$C:$C)</f>
        <v>0</v>
      </c>
      <c r="EG23" s="34">
        <f>SUMIF('Rig 209'!$B:$B,Lists!$A$24,'Rig 209'!$E:$E)</f>
        <v>0</v>
      </c>
      <c r="EH23" s="34">
        <f>SUMIF('Rig 209'!$B:$B,Lists!$A$24,'Rig 209'!$F:$F)</f>
        <v>0</v>
      </c>
      <c r="EI23" s="34">
        <f>SUMIF('Rig 209'!$B:$B,Lists!$A$24,'Rig 209'!$G:$G)</f>
        <v>0</v>
      </c>
      <c r="EJ23" s="34">
        <f>SUMIF('Rig 209'!$B:$B,Lists!$A$24,'Rig 209'!$H:$H)</f>
        <v>0</v>
      </c>
      <c r="EK23" s="34">
        <f>SUMIF('Rig 209'!$B:$B,Lists!$A$24,'Rig 209'!$I:$I)</f>
        <v>0</v>
      </c>
      <c r="EL23" s="34">
        <f>SUMIF('Rig 209'!$B:$B,Lists!$A$25,'Rig 209'!$C:$C)</f>
        <v>0</v>
      </c>
      <c r="EM23" s="34">
        <f>SUMIF('Rig 209'!$B:$B,Lists!$A$25,'Rig 209'!$E:$E)</f>
        <v>0</v>
      </c>
      <c r="EN23" s="34">
        <f>SUMIF('Rig 209'!$B:$B,Lists!$A$25,'Rig 209'!$F:$F)</f>
        <v>0</v>
      </c>
      <c r="EO23" s="34">
        <f>SUMIF('Rig 209'!$B:$B,Lists!$A$25,'Rig 209'!$G:$G)</f>
        <v>0</v>
      </c>
      <c r="EP23" s="34">
        <f>SUMIF('Rig 209'!$B:$B,Lists!$A$25,'Rig 209'!$H:$H)</f>
        <v>0</v>
      </c>
      <c r="EQ23" s="34">
        <f>SUMIF('Rig 209'!$B:$B,Lists!$A$25,'Rig 209'!$I:$I)</f>
        <v>0</v>
      </c>
      <c r="ER23" s="34">
        <f>SUMIF('Rig 209'!$B:$B,Lists!$A$26,'Rig 209'!$C:$C)</f>
        <v>0</v>
      </c>
      <c r="ES23" s="34">
        <f>SUMIF('Rig 209'!$B:$B,Lists!$A$26,'Rig 209'!$E:$E)</f>
        <v>0</v>
      </c>
      <c r="ET23" s="34">
        <f>SUMIF('Rig 209'!$B:$B,Lists!$A$26,'Rig 209'!$F:$F)</f>
        <v>0</v>
      </c>
      <c r="EU23" s="34">
        <f>SUMIF('Rig 209'!$B:$B,Lists!$A$26,'Rig 209'!$G:$G)</f>
        <v>0</v>
      </c>
      <c r="EV23" s="34">
        <f>SUMIF('Rig 209'!$B:$B,Lists!$A$26,'Rig 209'!$H:$H)</f>
        <v>0</v>
      </c>
      <c r="EW23" s="34">
        <f>SUMIF('Rig 209'!$B:$B,Lists!$A$26,'Rig 209'!$I:$I)</f>
        <v>0</v>
      </c>
      <c r="EX23" s="34">
        <f>SUMIF('Rig 209'!$B:$B,Lists!$A$27,'Rig 209'!$C:$C)</f>
        <v>0</v>
      </c>
      <c r="EY23" s="34">
        <f>SUMIF('Rig 209'!$B:$B,Lists!$A$27,'Rig 209'!$E:$E)</f>
        <v>0</v>
      </c>
      <c r="EZ23" s="34">
        <f>SUMIF('Rig 209'!$B:$B,Lists!$A$27,'Rig 209'!$F:$F)</f>
        <v>0</v>
      </c>
      <c r="FA23" s="34">
        <f>SUMIF('Rig 209'!$B:$B,Lists!$A$27,'Rig 209'!$G:$G)</f>
        <v>0</v>
      </c>
      <c r="FB23" s="34">
        <f>SUMIF('Rig 209'!$B:$B,Lists!$A$27,'Rig 209'!$H:$H)</f>
        <v>0</v>
      </c>
      <c r="FC23" s="34">
        <f>SUMIF('Rig 209'!$B:$B,Lists!$A$27,'Rig 209'!$I:$I)</f>
        <v>0</v>
      </c>
      <c r="FD23" s="34">
        <f>SUMIF('Rig 209'!$B:$B,Lists!$A$28,'Rig 209'!$C:$C)</f>
        <v>0</v>
      </c>
      <c r="FE23" s="34">
        <f>SUMIF('Rig 209'!$B:$B,Lists!$A$28,'Rig 209'!$E:$E)</f>
        <v>0</v>
      </c>
      <c r="FF23" s="34">
        <f>SUMIF('Rig 209'!$B:$B,Lists!$A$28,'Rig 209'!$F:$F)</f>
        <v>0</v>
      </c>
      <c r="FG23" s="34">
        <f>SUMIF('Rig 209'!$B:$B,Lists!$A$28,'Rig 209'!$G:$G)</f>
        <v>0</v>
      </c>
      <c r="FH23" s="34">
        <f>SUMIF('Rig 209'!$B:$B,Lists!$A$28,'Rig 209'!$H:$H)</f>
        <v>0</v>
      </c>
      <c r="FI23" s="34">
        <f>SUMIF('Rig 209'!$B:$B,Lists!$A$28,'Rig 209'!$I:$I)</f>
        <v>0</v>
      </c>
      <c r="FJ23" s="34">
        <f>SUMIF('Rig 209'!$B:$B,Lists!$A$29,'Rig 209'!$C:$C)</f>
        <v>0</v>
      </c>
      <c r="FK23" s="34">
        <f>SUMIF('Rig 209'!$B:$B,Lists!$A$29,'Rig 209'!$E:$E)</f>
        <v>0</v>
      </c>
      <c r="FL23" s="34">
        <f>SUMIF('Rig 209'!$B:$B,Lists!$A$29,'Rig 209'!$F:$F)</f>
        <v>0</v>
      </c>
      <c r="FM23" s="34">
        <f>SUMIF('Rig 209'!$B:$B,Lists!$A$29,'Rig 209'!$G:$G)</f>
        <v>0</v>
      </c>
      <c r="FN23" s="34">
        <f>SUMIF('Rig 209'!$B:$B,Lists!$A$29,'Rig 209'!$H:$H)</f>
        <v>0</v>
      </c>
      <c r="FO23" s="34">
        <f>SUMIF('Rig 209'!$B:$B,Lists!$A$29,'Rig 209'!$I:$I)</f>
        <v>0</v>
      </c>
      <c r="FP23" s="34">
        <f>SUMIF('Rig 209'!$B:$B,Lists!$A$30,'Rig 209'!$C:$C)</f>
        <v>0</v>
      </c>
      <c r="FQ23" s="34">
        <f>SUMIF('Rig 209'!$B:$B,Lists!$A$30,'Rig 209'!$E:$E)</f>
        <v>0</v>
      </c>
      <c r="FR23" s="34">
        <f>SUMIF('Rig 209'!$B:$B,Lists!$A$30,'Rig 209'!$F:$F)</f>
        <v>0</v>
      </c>
      <c r="FS23" s="34">
        <f>SUMIF('Rig 209'!$B:$B,Lists!$A$30,'Rig 209'!$G:$G)</f>
        <v>0</v>
      </c>
      <c r="FT23" s="34">
        <f>SUMIF('Rig 209'!$B:$B,Lists!$A$30,'Rig 209'!$H:$H)</f>
        <v>0</v>
      </c>
      <c r="FU23" s="34">
        <f>SUMIF('Rig 209'!$B:$B,Lists!$A$30,'Rig 209'!$I:$I)</f>
        <v>0</v>
      </c>
      <c r="FV23" s="34">
        <f>SUMIF('Rig 209'!$B:$B,Lists!$A$31,'Rig 209'!$C:$C)</f>
        <v>0</v>
      </c>
      <c r="FW23" s="34">
        <f>SUMIF('Rig 209'!$B:$B,Lists!$A$31,'Rig 209'!$E:$E)</f>
        <v>0</v>
      </c>
      <c r="FX23" s="34">
        <f>SUMIF('Rig 209'!$B:$B,Lists!$A$31,'Rig 209'!$F:$F)</f>
        <v>0</v>
      </c>
      <c r="FY23" s="34">
        <f>SUMIF('Rig 209'!$B:$B,Lists!$A$31,'Rig 209'!$G:$G)</f>
        <v>0</v>
      </c>
      <c r="FZ23" s="34">
        <f>SUMIF('Rig 209'!$B:$B,Lists!$A$31,'Rig 209'!$H:$H)</f>
        <v>0</v>
      </c>
      <c r="GA23" s="34">
        <f>SUMIF('Rig 209'!$B:$B,Lists!$A$31,'Rig 209'!$I:$I)</f>
        <v>0</v>
      </c>
      <c r="GB23" s="34">
        <f>SUMIF('Rig 209'!$B:$B,Lists!$A$32,'Rig 209'!$C:$C)</f>
        <v>0</v>
      </c>
      <c r="GC23" s="34">
        <f>SUMIF('Rig 209'!$B:$B,Lists!$A$32,'Rig 209'!$E:$E)</f>
        <v>0</v>
      </c>
      <c r="GD23" s="34">
        <f>SUMIF('Rig 209'!$B:$B,Lists!$A$32,'Rig 209'!$F:$F)</f>
        <v>0</v>
      </c>
      <c r="GE23" s="34">
        <f>SUMIF('Rig 209'!$B:$B,Lists!$A$32,'Rig 209'!$G:$G)</f>
        <v>0</v>
      </c>
      <c r="GF23" s="34">
        <f>SUMIF('Rig 209'!$B:$B,Lists!$A$32,'Rig 209'!$H:$H)</f>
        <v>0</v>
      </c>
      <c r="GG23" s="34">
        <f>SUMIF('Rig 209'!$B:$B,Lists!$A$32,'Rig 209'!$I:$I)</f>
        <v>0</v>
      </c>
      <c r="GH23" s="34">
        <f>SUMIF('Rig 209'!$B:$B,Lists!$A$33,'Rig 209'!$C:$C)</f>
        <v>0</v>
      </c>
      <c r="GI23" s="34">
        <f>SUMIF('Rig 209'!$B:$B,Lists!$A$33,'Rig 209'!$E:$E)</f>
        <v>0</v>
      </c>
      <c r="GJ23" s="34">
        <f>SUMIF('Rig 209'!$B:$B,Lists!$A$33,'Rig 209'!$F:$F)</f>
        <v>0</v>
      </c>
      <c r="GK23" s="34">
        <f>SUMIF('Rig 209'!$B:$B,Lists!$A$33,'Rig 209'!$G:$G)</f>
        <v>0</v>
      </c>
      <c r="GL23" s="34">
        <f>SUMIF('Rig 209'!$B:$B,Lists!$A$33,'Rig 209'!$H:$H)</f>
        <v>0</v>
      </c>
      <c r="GM23" s="34">
        <f>SUMIF('Rig 209'!$B:$B,Lists!$A$33,'Rig 209'!$I:$I)</f>
        <v>0</v>
      </c>
      <c r="GN23" s="34">
        <f>SUMIF('Rig 209'!$B:$B,Lists!$A$34,'Rig 209'!$C:$C)</f>
        <v>0</v>
      </c>
      <c r="GO23" s="34">
        <f>SUMIF('Rig 209'!$B:$B,Lists!$A$34,'Rig 209'!$E:$E)</f>
        <v>0</v>
      </c>
      <c r="GP23" s="34">
        <f>SUMIF('Rig 209'!$B:$B,Lists!$A$34,'Rig 209'!$F:$F)</f>
        <v>0</v>
      </c>
      <c r="GQ23" s="34">
        <f>SUMIF('Rig 209'!$B:$B,Lists!$A$34,'Rig 209'!$G:$G)</f>
        <v>0</v>
      </c>
      <c r="GR23" s="34">
        <f>SUMIF('Rig 209'!$B:$B,Lists!$A$34,'Rig 209'!$H:$H)</f>
        <v>0</v>
      </c>
      <c r="GS23" s="34">
        <f>SUMIF('Rig 209'!$B:$B,Lists!$A$34,'Rig 209'!$I:$I)</f>
        <v>0</v>
      </c>
      <c r="GT23" s="34">
        <f>SUMIF('Rig 209'!$B:$B,Lists!$A$35,'Rig 209'!$C:$C)</f>
        <v>0</v>
      </c>
      <c r="GU23" s="34">
        <f>SUMIF('Rig 209'!$B:$B,Lists!$A$35,'Rig 209'!$E:$E)</f>
        <v>0</v>
      </c>
      <c r="GV23" s="34">
        <f>SUMIF('Rig 209'!$B:$B,Lists!$A$35,'Rig 209'!$F:$F)</f>
        <v>0</v>
      </c>
      <c r="GW23" s="34">
        <f>SUMIF('Rig 209'!$B:$B,Lists!$A$35,'Rig 209'!$G:$G)</f>
        <v>0</v>
      </c>
      <c r="GX23" s="34">
        <f>SUMIF('Rig 209'!$B:$B,Lists!$A$35,'Rig 209'!$H:$H)</f>
        <v>0</v>
      </c>
      <c r="GY23" s="34">
        <f>SUMIF('Rig 209'!$B:$B,Lists!$A$35,'Rig 209'!$I:$I)</f>
        <v>0</v>
      </c>
      <c r="GZ23" s="34">
        <f>SUMIF('Rig 209'!$B:$B,Lists!$A$36,'Rig 209'!$C:$C)</f>
        <v>0</v>
      </c>
      <c r="HA23" s="34">
        <f>SUMIF('Rig 209'!$B:$B,Lists!$A$36,'Rig 209'!$E:$E)</f>
        <v>0</v>
      </c>
      <c r="HB23" s="34">
        <f>SUMIF('Rig 209'!$B:$B,Lists!$A$36,'Rig 209'!$F:$F)</f>
        <v>0</v>
      </c>
      <c r="HC23" s="34">
        <f>SUMIF('Rig 209'!$B:$B,Lists!$A$36,'Rig 209'!$G:$G)</f>
        <v>0</v>
      </c>
      <c r="HD23" s="34">
        <f>SUMIF('Rig 209'!$B:$B,Lists!$A$36,'Rig 209'!$H:$H)</f>
        <v>0</v>
      </c>
      <c r="HE23" s="34">
        <f>SUMIF('Rig 209'!$B:$B,Lists!$A$36,'Rig 209'!$I:$I)</f>
        <v>0</v>
      </c>
      <c r="HF23" s="34">
        <f>SUMIF('Rig 209'!$B:$B,Lists!$A$37,'Rig 209'!$C:$C)</f>
        <v>0</v>
      </c>
      <c r="HG23" s="34">
        <f>SUMIF('Rig 209'!$B:$B,Lists!$A$37,'Rig 209'!$E:$E)</f>
        <v>0</v>
      </c>
      <c r="HH23" s="34">
        <f>SUMIF('Rig 209'!$B:$B,Lists!$A$37,'Rig 209'!$F:$F)</f>
        <v>0</v>
      </c>
      <c r="HI23" s="34">
        <f>SUMIF('Rig 209'!$B:$B,Lists!$A$37,'Rig 209'!$G:$G)</f>
        <v>0</v>
      </c>
      <c r="HJ23" s="34">
        <f>SUMIF('Rig 209'!$B:$B,Lists!$A$37,'Rig 209'!$H:$H)</f>
        <v>0</v>
      </c>
      <c r="HK23" s="34">
        <f>SUMIF('Rig 209'!$B:$B,Lists!$A$37,'Rig 209'!$I:$I)</f>
        <v>0</v>
      </c>
      <c r="HL23" s="34">
        <f>SUMIF('Rig 209'!$B:$B,Lists!$A$38,'Rig 209'!$C:$C)</f>
        <v>0</v>
      </c>
      <c r="HM23" s="34">
        <f>SUMIF('Rig 209'!$B:$B,Lists!$A$38,'Rig 209'!$E:$E)</f>
        <v>0</v>
      </c>
      <c r="HN23" s="34">
        <f>SUMIF('Rig 209'!$B:$B,Lists!$A$38,'Rig 209'!$F:$F)</f>
        <v>0</v>
      </c>
      <c r="HO23" s="34">
        <f>SUMIF('Rig 209'!$B:$B,Lists!$A$38,'Rig 209'!$G:$G)</f>
        <v>0</v>
      </c>
      <c r="HP23" s="34">
        <f>SUMIF('Rig 209'!$B:$B,Lists!$A$38,'Rig 209'!$H:$H)</f>
        <v>0</v>
      </c>
      <c r="HQ23" s="34">
        <f>SUMIF('Rig 209'!$B:$B,Lists!$A$38,'Rig 209'!$I:$I)</f>
        <v>0</v>
      </c>
      <c r="HR23" s="34">
        <f>SUMIF('Rig 209'!$B:$B,Lists!$A$39,'Rig 209'!$C:$C)</f>
        <v>0</v>
      </c>
      <c r="HS23" s="34">
        <f>SUMIF('Rig 209'!$B:$B,Lists!$A$39,'Rig 209'!$E:$E)</f>
        <v>0</v>
      </c>
      <c r="HT23" s="34">
        <f>SUMIF('Rig 209'!$B:$B,Lists!$A$39,'Rig 209'!$F:$F)</f>
        <v>0</v>
      </c>
      <c r="HU23" s="34">
        <f>SUMIF('Rig 209'!$B:$B,Lists!$A$39,'Rig 209'!$G:$G)</f>
        <v>0</v>
      </c>
      <c r="HV23" s="34">
        <f>SUMIF('Rig 209'!$B:$B,Lists!$A$39,'Rig 209'!$H:$H)</f>
        <v>0</v>
      </c>
      <c r="HW23" s="34">
        <f>SUMIF('Rig 209'!$B:$B,Lists!$A$39,'Rig 209'!$I:$I)</f>
        <v>0</v>
      </c>
      <c r="HX23" s="34">
        <f>SUMIF('Rig 209'!$B:$B,Lists!$A$40,'Rig 209'!$C:$C)</f>
        <v>0</v>
      </c>
      <c r="HY23" s="34">
        <f>SUMIF('Rig 209'!$B:$B,Lists!$A$40,'Rig 209'!$E:$E)</f>
        <v>0</v>
      </c>
      <c r="HZ23" s="34">
        <f>SUMIF('Rig 209'!$B:$B,Lists!$A$40,'Rig 209'!$F:$F)</f>
        <v>0</v>
      </c>
      <c r="IA23" s="34">
        <f>SUMIF('Rig 209'!$B:$B,Lists!$A$40,'Rig 209'!$G:$G)</f>
        <v>0</v>
      </c>
      <c r="IB23" s="34">
        <f>SUMIF('Rig 209'!$B:$B,Lists!$A$40,'Rig 209'!$H:$H)</f>
        <v>0</v>
      </c>
      <c r="IC23" s="34">
        <f>SUMIF('Rig 209'!$B:$B,Lists!$A$40,'Rig 209'!$I:$I)</f>
        <v>0</v>
      </c>
      <c r="ID23" s="34">
        <f>SUMIF('Rig 209'!$B:$B,Lists!$A$41,'Rig 209'!$C:$C)</f>
        <v>0</v>
      </c>
      <c r="IE23" s="34">
        <f>SUMIF('Rig 209'!$B:$B,Lists!$A$41,'Rig 209'!$E:$E)</f>
        <v>0</v>
      </c>
      <c r="IF23" s="34">
        <f>SUMIF('Rig 209'!$B:$B,Lists!$A$41,'Rig 209'!$F:$F)</f>
        <v>0</v>
      </c>
      <c r="IG23" s="34">
        <f>SUMIF('Rig 209'!$B:$B,Lists!$A$41,'Rig 209'!$G:$G)</f>
        <v>0</v>
      </c>
      <c r="IH23" s="34">
        <f>SUMIF('Rig 209'!$B:$B,Lists!$A$41,'Rig 209'!$H:$H)</f>
        <v>0</v>
      </c>
      <c r="II23" s="34">
        <f>SUMIF('Rig 209'!$B:$B,Lists!$A$41,'Rig 209'!$I:$I)</f>
        <v>0</v>
      </c>
    </row>
    <row r="24" spans="1:243" ht="19.5" customHeight="1" x14ac:dyDescent="0.3">
      <c r="A24" s="35" t="s">
        <v>95</v>
      </c>
      <c r="B24" s="36">
        <f>'Rig 210'!D2</f>
        <v>46162</v>
      </c>
      <c r="C24" s="37" t="s">
        <v>77</v>
      </c>
      <c r="D24" s="38">
        <f>SUMIF('Rig 210'!$B:$B,Lists!$A$2,'Rig 210'!$C:$C)</f>
        <v>0</v>
      </c>
      <c r="E24" s="38">
        <f>SUMIF('Rig 210'!$B:$B,Lists!$A$2,'Rig 210'!$E:$E)</f>
        <v>0</v>
      </c>
      <c r="F24" s="38">
        <f>SUMIF('Rig 210'!$B:$B,Lists!$A$2,'Rig 210'!$F:$F)</f>
        <v>0</v>
      </c>
      <c r="G24" s="38">
        <f>SUMIF('Rig 210'!$B:$B,Lists!$A$2,'Rig 210'!$G:$G)</f>
        <v>0</v>
      </c>
      <c r="H24" s="38">
        <f>SUMIF('Rig 210'!$B:$B,Lists!$A$2,'Rig 210'!$H:$H)</f>
        <v>0</v>
      </c>
      <c r="I24" s="38">
        <f>SUMIF('Rig 210'!$B:$B,Lists!$A$2,'Rig 210'!$I:$I)</f>
        <v>0</v>
      </c>
      <c r="J24" s="38">
        <f>SUMIF('Rig 210'!$B:$B,Lists!$A$3,'Rig 210'!$C:$C)</f>
        <v>0</v>
      </c>
      <c r="K24" s="38">
        <f>SUMIF('Rig 210'!$B:$B,Lists!$A$3,'Rig 210'!$E:$E)</f>
        <v>0</v>
      </c>
      <c r="L24" s="38">
        <f>SUMIF('Rig 210'!$B:$B,Lists!$A$3,'Rig 210'!$F:$F)</f>
        <v>0</v>
      </c>
      <c r="M24" s="38">
        <f>SUMIF('Rig 210'!$B:$B,Lists!$A$3,'Rig 210'!$G:$G)</f>
        <v>0</v>
      </c>
      <c r="N24" s="38">
        <f>SUMIF('Rig 210'!$B:$B,Lists!$A$3,'Rig 210'!$H:$H)</f>
        <v>0</v>
      </c>
      <c r="O24" s="38">
        <f>SUMIF('Rig 210'!$B:$B,Lists!$A$3,'Rig 210'!$I:$I)</f>
        <v>0</v>
      </c>
      <c r="P24" s="38">
        <f>SUMIF('Rig 210'!$B:$B,Lists!$A$4,'Rig 210'!$C:$C)</f>
        <v>0</v>
      </c>
      <c r="Q24" s="38">
        <f>SUMIF('Rig 210'!$B:$B,Lists!$A$4,'Rig 210'!$E:$E)</f>
        <v>0</v>
      </c>
      <c r="R24" s="38">
        <f>SUMIF('Rig 210'!$B:$B,Lists!$A$4,'Rig 210'!$F:$F)</f>
        <v>0</v>
      </c>
      <c r="S24" s="38">
        <f>SUMIF('Rig 210'!$B:$B,Lists!$A$4,'Rig 210'!$G:$G)</f>
        <v>0</v>
      </c>
      <c r="T24" s="38">
        <f>SUMIF('Rig 210'!$B:$B,Lists!$A$4,'Rig 210'!$H:$H)</f>
        <v>0</v>
      </c>
      <c r="U24" s="38">
        <f>SUMIF('Rig 210'!$B:$B,Lists!$A$4,'Rig 210'!$I:$I)</f>
        <v>0</v>
      </c>
      <c r="V24" s="38">
        <f>SUMIF('Rig 210'!$B:$B,Lists!$A$5,'Rig 210'!$C:$C)</f>
        <v>0</v>
      </c>
      <c r="W24" s="38">
        <f>SUMIF('Rig 210'!$B:$B,Lists!$A$5,'Rig 210'!$E:$E)</f>
        <v>0</v>
      </c>
      <c r="X24" s="38">
        <f>SUMIF('Rig 210'!$B:$B,Lists!$A$5,'Rig 210'!$F:$F)</f>
        <v>0</v>
      </c>
      <c r="Y24" s="38">
        <f>SUMIF('Rig 210'!$B:$B,Lists!$A$5,'Rig 210'!$G:$G)</f>
        <v>0</v>
      </c>
      <c r="Z24" s="38">
        <f>SUMIF('Rig 210'!$B:$B,Lists!$A$5,'Rig 210'!$H:$H)</f>
        <v>0</v>
      </c>
      <c r="AA24" s="38">
        <f>SUMIF('Rig 210'!$B:$B,Lists!$A$5,'Rig 210'!$I:$I)</f>
        <v>0</v>
      </c>
      <c r="AB24" s="38">
        <f>SUMIF('Rig 210'!$B:$B,Lists!$A$6,'Rig 210'!$C:$C)</f>
        <v>0</v>
      </c>
      <c r="AC24" s="38">
        <f>SUMIF('Rig 210'!$B:$B,Lists!$A$6,'Rig 210'!$E:$E)</f>
        <v>0</v>
      </c>
      <c r="AD24" s="38">
        <f>SUMIF('Rig 210'!$B:$B,Lists!$A$6,'Rig 210'!$F:$F)</f>
        <v>0</v>
      </c>
      <c r="AE24" s="38">
        <f>SUMIF('Rig 210'!$B:$B,Lists!$A$6,'Rig 210'!$G:$G)</f>
        <v>0</v>
      </c>
      <c r="AF24" s="38">
        <f>SUMIF('Rig 210'!$B:$B,Lists!$A$6,'Rig 210'!$H:$H)</f>
        <v>0</v>
      </c>
      <c r="AG24" s="38">
        <f>SUMIF('Rig 210'!$B:$B,Lists!$A$6,'Rig 210'!$I:$I)</f>
        <v>0</v>
      </c>
      <c r="AH24" s="38">
        <f>SUMIF('Rig 210'!$B:$B,Lists!$A$7,'Rig 210'!$C:$C)</f>
        <v>0</v>
      </c>
      <c r="AI24" s="38">
        <f>SUMIF('Rig 210'!$B:$B,Lists!$A$7,'Rig 210'!$E:$E)</f>
        <v>0</v>
      </c>
      <c r="AJ24" s="38">
        <f>SUMIF('Rig 210'!$B:$B,Lists!$A$7,'Rig 210'!$F:$F)</f>
        <v>0</v>
      </c>
      <c r="AK24" s="38">
        <f>SUMIF('Rig 210'!$B:$B,Lists!$A$7,'Rig 210'!$G:$G)</f>
        <v>0</v>
      </c>
      <c r="AL24" s="38">
        <f>SUMIF('Rig 210'!$B:$B,Lists!$A$7,'Rig 210'!$H:$H)</f>
        <v>0</v>
      </c>
      <c r="AM24" s="38">
        <f>SUMIF('Rig 210'!$B:$B,Lists!$A$7,'Rig 210'!$I:$I)</f>
        <v>0</v>
      </c>
      <c r="AN24" s="38">
        <f>SUMIF('Rig 210'!$B:$B,Lists!$A$8,'Rig 210'!$C:$C)</f>
        <v>0</v>
      </c>
      <c r="AO24" s="38">
        <f>SUMIF('Rig 210'!$B:$B,Lists!$A$8,'Rig 210'!$E:$E)</f>
        <v>0</v>
      </c>
      <c r="AP24" s="38">
        <f>SUMIF('Rig 210'!$B:$B,Lists!$A$8,'Rig 210'!$F:$F)</f>
        <v>0</v>
      </c>
      <c r="AQ24" s="38">
        <f>SUMIF('Rig 210'!$B:$B,Lists!$A$8,'Rig 210'!$G:$G)</f>
        <v>0</v>
      </c>
      <c r="AR24" s="38">
        <f>SUMIF('Rig 210'!$B:$B,Lists!$A$8,'Rig 210'!$H:$H)</f>
        <v>0</v>
      </c>
      <c r="AS24" s="38">
        <f>SUMIF('Rig 210'!$B:$B,Lists!$A$8,'Rig 210'!$I:$I)</f>
        <v>0</v>
      </c>
      <c r="AT24" s="38">
        <f>SUMIF('Rig 210'!$B:$B,Lists!$A$9,'Rig 210'!$C:$C)</f>
        <v>0</v>
      </c>
      <c r="AU24" s="38">
        <f>SUMIF('Rig 210'!$B:$B,Lists!$A$9,'Rig 210'!$E:$E)</f>
        <v>0</v>
      </c>
      <c r="AV24" s="38">
        <f>SUMIF('Rig 210'!$B:$B,Lists!$A$9,'Rig 210'!$F:$F)</f>
        <v>0</v>
      </c>
      <c r="AW24" s="38">
        <f>SUMIF('Rig 210'!$B:$B,Lists!$A$9,'Rig 210'!$G:$G)</f>
        <v>0</v>
      </c>
      <c r="AX24" s="38">
        <f>SUMIF('Rig 210'!$B:$B,Lists!$A$9,'Rig 210'!$H:$H)</f>
        <v>0</v>
      </c>
      <c r="AY24" s="38">
        <f>SUMIF('Rig 210'!$B:$B,Lists!$A$9,'Rig 210'!$I:$I)</f>
        <v>0</v>
      </c>
      <c r="AZ24" s="38">
        <f>SUMIF('Rig 210'!$B:$B,Lists!$A$10,'Rig 210'!$C:$C)</f>
        <v>208</v>
      </c>
      <c r="BA24" s="38">
        <f>SUMIF('Rig 210'!$B:$B,Lists!$A$10,'Rig 210'!$E:$E)</f>
        <v>212</v>
      </c>
      <c r="BB24" s="38">
        <f>SUMIF('Rig 210'!$B:$B,Lists!$A$10,'Rig 210'!$F:$F)</f>
        <v>0</v>
      </c>
      <c r="BC24" s="38">
        <f>SUMIF('Rig 210'!$B:$B,Lists!$A$10,'Rig 210'!$G:$G)</f>
        <v>0</v>
      </c>
      <c r="BD24" s="38">
        <f>SUMIF('Rig 210'!$B:$B,Lists!$A$10,'Rig 210'!$H:$H)</f>
        <v>0</v>
      </c>
      <c r="BE24" s="38">
        <f>SUMIF('Rig 210'!$B:$B,Lists!$A$10,'Rig 210'!$I:$I)</f>
        <v>0</v>
      </c>
      <c r="BF24" s="38">
        <f>SUMIF('Rig 210'!$B:$B,Lists!$A$11,'Rig 210'!$C:$C)</f>
        <v>0</v>
      </c>
      <c r="BG24" s="38">
        <f>SUMIF('Rig 210'!$B:$B,Lists!$A$11,'Rig 210'!$E:$E)</f>
        <v>0</v>
      </c>
      <c r="BH24" s="38">
        <f>SUMIF('Rig 210'!$B:$B,Lists!$A$11,'Rig 210'!$F:$F)</f>
        <v>0</v>
      </c>
      <c r="BI24" s="38">
        <f>SUMIF('Rig 210'!$B:$B,Lists!$A$11,'Rig 210'!$G:$G)</f>
        <v>0</v>
      </c>
      <c r="BJ24" s="38">
        <f>SUMIF('Rig 210'!$B:$B,Lists!$A$11,'Rig 210'!$H:$H)</f>
        <v>0</v>
      </c>
      <c r="BK24" s="38">
        <f>SUMIF('Rig 210'!$B:$B,Lists!$A$11,'Rig 210'!$I:$I)</f>
        <v>0</v>
      </c>
      <c r="BL24" s="38">
        <f>SUMIF('Rig 210'!$B:$B,Lists!$A$12,'Rig 210'!$C:$C)</f>
        <v>0</v>
      </c>
      <c r="BM24" s="38">
        <f>SUMIF('Rig 210'!$B:$B,Lists!$A$12,'Rig 210'!$E:$E)</f>
        <v>0</v>
      </c>
      <c r="BN24" s="38">
        <f>SUMIF('Rig 210'!$B:$B,Lists!$A$12,'Rig 210'!$F:$F)</f>
        <v>0</v>
      </c>
      <c r="BO24" s="38">
        <f>SUMIF('Rig 210'!$B:$B,Lists!$A$12,'Rig 210'!$G:$G)</f>
        <v>0</v>
      </c>
      <c r="BP24" s="38">
        <f>SUMIF('Rig 210'!$B:$B,Lists!$A$12,'Rig 210'!$H:$H)</f>
        <v>0</v>
      </c>
      <c r="BQ24" s="38">
        <f>SUMIF('Rig 210'!$B:$B,Lists!$A$12,'Rig 210'!$I:$I)</f>
        <v>0</v>
      </c>
      <c r="BR24" s="38">
        <f>SUMIF('Rig 210'!$B:$B,Lists!$A$13,'Rig 210'!$C:$C)</f>
        <v>0</v>
      </c>
      <c r="BS24" s="38">
        <f>SUMIF('Rig 210'!$B:$B,Lists!$A$13,'Rig 210'!$E:$E)</f>
        <v>0</v>
      </c>
      <c r="BT24" s="38">
        <f>SUMIF('Rig 210'!$B:$B,Lists!$A$13,'Rig 210'!$F:$F)</f>
        <v>0</v>
      </c>
      <c r="BU24" s="38">
        <f>SUMIF('Rig 210'!$B:$B,Lists!$A$13,'Rig 210'!$G:$G)</f>
        <v>0</v>
      </c>
      <c r="BV24" s="38">
        <f>SUMIF('Rig 210'!$B:$B,Lists!$A$13,'Rig 210'!$H:$H)</f>
        <v>0</v>
      </c>
      <c r="BW24" s="38">
        <f>SUMIF('Rig 210'!$B:$B,Lists!$A$13,'Rig 210'!$I:$I)</f>
        <v>0</v>
      </c>
      <c r="BX24" s="38">
        <f>SUMIF('Rig 210'!$B:$B,Lists!$A$14,'Rig 210'!$C:$C)</f>
        <v>0</v>
      </c>
      <c r="BY24" s="38">
        <f>SUMIF('Rig 210'!$B:$B,Lists!$A$14,'Rig 210'!$E:$E)</f>
        <v>0</v>
      </c>
      <c r="BZ24" s="38">
        <f>SUMIF('Rig 210'!$B:$B,Lists!$A$14,'Rig 210'!$F:$F)</f>
        <v>0</v>
      </c>
      <c r="CA24" s="38">
        <f>SUMIF('Rig 210'!$B:$B,Lists!$A$14,'Rig 210'!$G:$G)</f>
        <v>0</v>
      </c>
      <c r="CB24" s="38">
        <f>SUMIF('Rig 210'!$B:$B,Lists!$A$14,'Rig 210'!$H:$H)</f>
        <v>0</v>
      </c>
      <c r="CC24" s="38">
        <f>SUMIF('Rig 210'!$B:$B,Lists!$A$14,'Rig 210'!$I:$I)</f>
        <v>0</v>
      </c>
      <c r="CD24" s="38">
        <f>SUMIF('Rig 210'!$B:$B,Lists!$A$15,'Rig 210'!$C:$C)</f>
        <v>0</v>
      </c>
      <c r="CE24" s="38">
        <f>SUMIF('Rig 210'!$B:$B,Lists!$A$15,'Rig 210'!$E:$E)</f>
        <v>0</v>
      </c>
      <c r="CF24" s="38">
        <f>SUMIF('Rig 210'!$B:$B,Lists!$A$15,'Rig 210'!$F:$F)</f>
        <v>0</v>
      </c>
      <c r="CG24" s="38">
        <f>SUMIF('Rig 210'!$B:$B,Lists!$A$15,'Rig 210'!$G:$G)</f>
        <v>0</v>
      </c>
      <c r="CH24" s="38">
        <f>SUMIF('Rig 210'!$B:$B,Lists!$A$15,'Rig 210'!$H:$H)</f>
        <v>0</v>
      </c>
      <c r="CI24" s="38">
        <f>SUMIF('Rig 210'!$B:$B,Lists!$A$15,'Rig 210'!$I:$I)</f>
        <v>0</v>
      </c>
      <c r="CJ24" s="38">
        <f>SUMIF('Rig 210'!$B:$B,Lists!$A$16,'Rig 210'!$C:$C)</f>
        <v>0</v>
      </c>
      <c r="CK24" s="38">
        <f>SUMIF('Rig 210'!$B:$B,Lists!$A$16,'Rig 210'!$E:$E)</f>
        <v>0</v>
      </c>
      <c r="CL24" s="38">
        <f>SUMIF('Rig 210'!$B:$B,Lists!$A$16,'Rig 210'!$F:$F)</f>
        <v>0</v>
      </c>
      <c r="CM24" s="38">
        <f>SUMIF('Rig 210'!$B:$B,Lists!$A$16,'Rig 210'!$G:$G)</f>
        <v>0</v>
      </c>
      <c r="CN24" s="38">
        <f>SUMIF('Rig 210'!$B:$B,Lists!$A$16,'Rig 210'!$H:$H)</f>
        <v>0</v>
      </c>
      <c r="CO24" s="38">
        <f>SUMIF('Rig 210'!$B:$B,Lists!$A$16,'Rig 210'!$I:$I)</f>
        <v>0</v>
      </c>
      <c r="CP24" s="38">
        <f>SUMIF('Rig 210'!$B:$B,Lists!$A$17,'Rig 210'!$C:$C)</f>
        <v>42</v>
      </c>
      <c r="CQ24" s="38">
        <f>SUMIF('Rig 210'!$B:$B,Lists!$A$17,'Rig 210'!$E:$E)</f>
        <v>45</v>
      </c>
      <c r="CR24" s="38">
        <f>SUMIF('Rig 210'!$B:$B,Lists!$A$17,'Rig 210'!$F:$F)</f>
        <v>0</v>
      </c>
      <c r="CS24" s="38">
        <f>SUMIF('Rig 210'!$B:$B,Lists!$A$17,'Rig 210'!$G:$G)</f>
        <v>0</v>
      </c>
      <c r="CT24" s="38">
        <f>SUMIF('Rig 210'!$B:$B,Lists!$A$17,'Rig 210'!$H:$H)</f>
        <v>0</v>
      </c>
      <c r="CU24" s="38">
        <f>SUMIF('Rig 210'!$B:$B,Lists!$A$17,'Rig 210'!$I:$I)</f>
        <v>0</v>
      </c>
      <c r="CV24" s="38">
        <f>SUMIF('Rig 210'!$B:$B,Lists!$A$18,'Rig 210'!$C:$C)</f>
        <v>0</v>
      </c>
      <c r="CW24" s="38">
        <f>SUMIF('Rig 210'!$B:$B,Lists!$A$18,'Rig 210'!$E:$E)</f>
        <v>0</v>
      </c>
      <c r="CX24" s="38">
        <f>SUMIF('Rig 210'!$B:$B,Lists!$A$18,'Rig 210'!$F:$F)</f>
        <v>0</v>
      </c>
      <c r="CY24" s="38">
        <f>SUMIF('Rig 210'!$B:$B,Lists!$A$18,'Rig 210'!$G:$G)</f>
        <v>0</v>
      </c>
      <c r="CZ24" s="38">
        <f>SUMIF('Rig 210'!$B:$B,Lists!$A$18,'Rig 210'!$H:$H)</f>
        <v>0</v>
      </c>
      <c r="DA24" s="38">
        <f>SUMIF('Rig 210'!$B:$B,Lists!$A$18,'Rig 210'!$I:$I)</f>
        <v>0</v>
      </c>
      <c r="DB24" s="38">
        <f>SUMIF('Rig 210'!$B:$B,Lists!$A$19,'Rig 210'!$C:$C)</f>
        <v>0</v>
      </c>
      <c r="DC24" s="38">
        <f>SUMIF('Rig 210'!$B:$B,Lists!$A$19,'Rig 210'!$E:$E)</f>
        <v>0</v>
      </c>
      <c r="DD24" s="38">
        <f>SUMIF('Rig 210'!$B:$B,Lists!$A$19,'Rig 210'!$F:$F)</f>
        <v>0</v>
      </c>
      <c r="DE24" s="38">
        <f>SUMIF('Rig 210'!$B:$B,Lists!$A$19,'Rig 210'!$G:$G)</f>
        <v>0</v>
      </c>
      <c r="DF24" s="38">
        <f>SUMIF('Rig 210'!$B:$B,Lists!$A$19,'Rig 210'!$H:$H)</f>
        <v>0</v>
      </c>
      <c r="DG24" s="38">
        <f>SUMIF('Rig 210'!$B:$B,Lists!$A$19,'Rig 210'!$I:$I)</f>
        <v>0</v>
      </c>
      <c r="DH24" s="38">
        <f>SUMIF('Rig 210'!$B:$B,Lists!$A$20,'Rig 210'!$C:$C)</f>
        <v>35</v>
      </c>
      <c r="DI24" s="38">
        <f>SUMIF('Rig 210'!$B:$B,Lists!$A$20,'Rig 210'!$E:$E)</f>
        <v>27</v>
      </c>
      <c r="DJ24" s="38">
        <f>SUMIF('Rig 210'!$B:$B,Lists!$A$20,'Rig 210'!$F:$F)</f>
        <v>0</v>
      </c>
      <c r="DK24" s="38">
        <f>SUMIF('Rig 210'!$B:$B,Lists!$A$20,'Rig 210'!$G:$G)</f>
        <v>0</v>
      </c>
      <c r="DL24" s="38">
        <f>SUMIF('Rig 210'!$B:$B,Lists!$A$20,'Rig 210'!$H:$H)</f>
        <v>0</v>
      </c>
      <c r="DM24" s="38">
        <f>SUMIF('Rig 210'!$B:$B,Lists!$A$20,'Rig 210'!$I:$I)</f>
        <v>0</v>
      </c>
      <c r="DN24" s="38">
        <f>SUMIF('Rig 210'!$B:$B,Lists!$A$21,'Rig 210'!$C:$C)</f>
        <v>0</v>
      </c>
      <c r="DO24" s="38">
        <f>SUMIF('Rig 210'!$B:$B,Lists!$A$21,'Rig 210'!$E:$E)</f>
        <v>0</v>
      </c>
      <c r="DP24" s="38">
        <f>SUMIF('Rig 210'!$B:$B,Lists!$A$21,'Rig 210'!$F:$F)</f>
        <v>0</v>
      </c>
      <c r="DQ24" s="38">
        <f>SUMIF('Rig 210'!$B:$B,Lists!$A$21,'Rig 210'!$G:$G)</f>
        <v>0</v>
      </c>
      <c r="DR24" s="38">
        <f>SUMIF('Rig 210'!$B:$B,Lists!$A$21,'Rig 210'!$H:$H)</f>
        <v>0</v>
      </c>
      <c r="DS24" s="38">
        <f>SUMIF('Rig 210'!$B:$B,Lists!$A$21,'Rig 210'!$I:$I)</f>
        <v>0</v>
      </c>
      <c r="DT24" s="38">
        <f>SUMIF('Rig 210'!$B:$B,Lists!$A$22,'Rig 210'!$C:$C)</f>
        <v>9</v>
      </c>
      <c r="DU24" s="38">
        <f>SUMIF('Rig 210'!$B:$B,Lists!$A$22,'Rig 210'!$E:$E)</f>
        <v>7</v>
      </c>
      <c r="DV24" s="38">
        <f>SUMIF('Rig 210'!$B:$B,Lists!$A$22,'Rig 210'!$F:$F)</f>
        <v>0</v>
      </c>
      <c r="DW24" s="38">
        <f>SUMIF('Rig 210'!$B:$B,Lists!$A$22,'Rig 210'!$G:$G)</f>
        <v>0</v>
      </c>
      <c r="DX24" s="38">
        <f>SUMIF('Rig 210'!$B:$B,Lists!$A$22,'Rig 210'!$H:$H)</f>
        <v>0</v>
      </c>
      <c r="DY24" s="38">
        <f>SUMIF('Rig 210'!$B:$B,Lists!$A$22,'Rig 210'!$I:$I)</f>
        <v>0</v>
      </c>
      <c r="DZ24" s="38">
        <f>SUMIF('Rig 210'!$B:$B,Lists!$A$23,'Rig 210'!$C:$C)</f>
        <v>18</v>
      </c>
      <c r="EA24" s="38">
        <f>SUMIF('Rig 210'!$B:$B,Lists!$A$23,'Rig 210'!$E:$E)</f>
        <v>25</v>
      </c>
      <c r="EB24" s="38">
        <f>SUMIF('Rig 210'!$B:$B,Lists!$A$23,'Rig 210'!$F:$F)</f>
        <v>0</v>
      </c>
      <c r="EC24" s="38">
        <f>SUMIF('Rig 210'!$B:$B,Lists!$A$23,'Rig 210'!$G:$G)</f>
        <v>0</v>
      </c>
      <c r="ED24" s="38">
        <f>SUMIF('Rig 210'!$B:$B,Lists!$A$23,'Rig 210'!$H:$H)</f>
        <v>0</v>
      </c>
      <c r="EE24" s="38">
        <f>SUMIF('Rig 210'!$B:$B,Lists!$A$23,'Rig 210'!$I:$I)</f>
        <v>0</v>
      </c>
      <c r="EF24" s="38">
        <f>SUMIF('Rig 210'!$B:$B,Lists!$A$24,'Rig 210'!$C:$C)</f>
        <v>0</v>
      </c>
      <c r="EG24" s="38">
        <f>SUMIF('Rig 210'!$B:$B,Lists!$A$24,'Rig 210'!$E:$E)</f>
        <v>0</v>
      </c>
      <c r="EH24" s="38">
        <f>SUMIF('Rig 210'!$B:$B,Lists!$A$24,'Rig 210'!$F:$F)</f>
        <v>0</v>
      </c>
      <c r="EI24" s="38">
        <f>SUMIF('Rig 210'!$B:$B,Lists!$A$24,'Rig 210'!$G:$G)</f>
        <v>0</v>
      </c>
      <c r="EJ24" s="38">
        <f>SUMIF('Rig 210'!$B:$B,Lists!$A$24,'Rig 210'!$H:$H)</f>
        <v>0</v>
      </c>
      <c r="EK24" s="38">
        <f>SUMIF('Rig 210'!$B:$B,Lists!$A$24,'Rig 210'!$I:$I)</f>
        <v>0</v>
      </c>
      <c r="EL24" s="38">
        <f>SUMIF('Rig 210'!$B:$B,Lists!$A$25,'Rig 210'!$C:$C)</f>
        <v>0</v>
      </c>
      <c r="EM24" s="38">
        <f>SUMIF('Rig 210'!$B:$B,Lists!$A$25,'Rig 210'!$E:$E)</f>
        <v>0</v>
      </c>
      <c r="EN24" s="38">
        <f>SUMIF('Rig 210'!$B:$B,Lists!$A$25,'Rig 210'!$F:$F)</f>
        <v>0</v>
      </c>
      <c r="EO24" s="38">
        <f>SUMIF('Rig 210'!$B:$B,Lists!$A$25,'Rig 210'!$G:$G)</f>
        <v>0</v>
      </c>
      <c r="EP24" s="38">
        <f>SUMIF('Rig 210'!$B:$B,Lists!$A$25,'Rig 210'!$H:$H)</f>
        <v>0</v>
      </c>
      <c r="EQ24" s="38">
        <f>SUMIF('Rig 210'!$B:$B,Lists!$A$25,'Rig 210'!$I:$I)</f>
        <v>0</v>
      </c>
      <c r="ER24" s="38">
        <f>SUMIF('Rig 210'!$B:$B,Lists!$A$26,'Rig 210'!$C:$C)</f>
        <v>26</v>
      </c>
      <c r="ES24" s="38">
        <f>SUMIF('Rig 210'!$B:$B,Lists!$A$26,'Rig 210'!$E:$E)</f>
        <v>18</v>
      </c>
      <c r="ET24" s="38">
        <f>SUMIF('Rig 210'!$B:$B,Lists!$A$26,'Rig 210'!$F:$F)</f>
        <v>0</v>
      </c>
      <c r="EU24" s="38">
        <f>SUMIF('Rig 210'!$B:$B,Lists!$A$26,'Rig 210'!$G:$G)</f>
        <v>0</v>
      </c>
      <c r="EV24" s="38">
        <f>SUMIF('Rig 210'!$B:$B,Lists!$A$26,'Rig 210'!$H:$H)</f>
        <v>0</v>
      </c>
      <c r="EW24" s="38">
        <f>SUMIF('Rig 210'!$B:$B,Lists!$A$26,'Rig 210'!$I:$I)</f>
        <v>0</v>
      </c>
      <c r="EX24" s="38">
        <f>SUMIF('Rig 210'!$B:$B,Lists!$A$27,'Rig 210'!$C:$C)</f>
        <v>0</v>
      </c>
      <c r="EY24" s="38">
        <f>SUMIF('Rig 210'!$B:$B,Lists!$A$27,'Rig 210'!$E:$E)</f>
        <v>0</v>
      </c>
      <c r="EZ24" s="38">
        <f>SUMIF('Rig 210'!$B:$B,Lists!$A$27,'Rig 210'!$F:$F)</f>
        <v>0</v>
      </c>
      <c r="FA24" s="38">
        <f>SUMIF('Rig 210'!$B:$B,Lists!$A$27,'Rig 210'!$G:$G)</f>
        <v>0</v>
      </c>
      <c r="FB24" s="38">
        <f>SUMIF('Rig 210'!$B:$B,Lists!$A$27,'Rig 210'!$H:$H)</f>
        <v>0</v>
      </c>
      <c r="FC24" s="38">
        <f>SUMIF('Rig 210'!$B:$B,Lists!$A$27,'Rig 210'!$I:$I)</f>
        <v>0</v>
      </c>
      <c r="FD24" s="38">
        <f>SUMIF('Rig 210'!$B:$B,Lists!$A$28,'Rig 210'!$C:$C)</f>
        <v>0</v>
      </c>
      <c r="FE24" s="38">
        <f>SUMIF('Rig 210'!$B:$B,Lists!$A$28,'Rig 210'!$E:$E)</f>
        <v>0</v>
      </c>
      <c r="FF24" s="38">
        <f>SUMIF('Rig 210'!$B:$B,Lists!$A$28,'Rig 210'!$F:$F)</f>
        <v>0</v>
      </c>
      <c r="FG24" s="38">
        <f>SUMIF('Rig 210'!$B:$B,Lists!$A$28,'Rig 210'!$G:$G)</f>
        <v>0</v>
      </c>
      <c r="FH24" s="38">
        <f>SUMIF('Rig 210'!$B:$B,Lists!$A$28,'Rig 210'!$H:$H)</f>
        <v>0</v>
      </c>
      <c r="FI24" s="38">
        <f>SUMIF('Rig 210'!$B:$B,Lists!$A$28,'Rig 210'!$I:$I)</f>
        <v>0</v>
      </c>
      <c r="FJ24" s="38">
        <f>SUMIF('Rig 210'!$B:$B,Lists!$A$29,'Rig 210'!$C:$C)</f>
        <v>0</v>
      </c>
      <c r="FK24" s="38">
        <f>SUMIF('Rig 210'!$B:$B,Lists!$A$29,'Rig 210'!$E:$E)</f>
        <v>20</v>
      </c>
      <c r="FL24" s="38">
        <f>SUMIF('Rig 210'!$B:$B,Lists!$A$29,'Rig 210'!$F:$F)</f>
        <v>0</v>
      </c>
      <c r="FM24" s="38">
        <f>SUMIF('Rig 210'!$B:$B,Lists!$A$29,'Rig 210'!$G:$G)</f>
        <v>0</v>
      </c>
      <c r="FN24" s="38">
        <f>SUMIF('Rig 210'!$B:$B,Lists!$A$29,'Rig 210'!$H:$H)</f>
        <v>0</v>
      </c>
      <c r="FO24" s="38">
        <f>SUMIF('Rig 210'!$B:$B,Lists!$A$29,'Rig 210'!$I:$I)</f>
        <v>0</v>
      </c>
      <c r="FP24" s="38">
        <f>SUMIF('Rig 210'!$B:$B,Lists!$A$30,'Rig 210'!$C:$C)</f>
        <v>0</v>
      </c>
      <c r="FQ24" s="38">
        <f>SUMIF('Rig 210'!$B:$B,Lists!$A$30,'Rig 210'!$E:$E)</f>
        <v>0</v>
      </c>
      <c r="FR24" s="38">
        <f>SUMIF('Rig 210'!$B:$B,Lists!$A$30,'Rig 210'!$F:$F)</f>
        <v>0</v>
      </c>
      <c r="FS24" s="38">
        <f>SUMIF('Rig 210'!$B:$B,Lists!$A$30,'Rig 210'!$G:$G)</f>
        <v>0</v>
      </c>
      <c r="FT24" s="38">
        <f>SUMIF('Rig 210'!$B:$B,Lists!$A$30,'Rig 210'!$H:$H)</f>
        <v>0</v>
      </c>
      <c r="FU24" s="38">
        <f>SUMIF('Rig 210'!$B:$B,Lists!$A$30,'Rig 210'!$I:$I)</f>
        <v>0</v>
      </c>
      <c r="FV24" s="38">
        <f>SUMIF('Rig 210'!$B:$B,Lists!$A$31,'Rig 210'!$C:$C)</f>
        <v>0</v>
      </c>
      <c r="FW24" s="38">
        <f>SUMIF('Rig 210'!$B:$B,Lists!$A$31,'Rig 210'!$E:$E)</f>
        <v>0</v>
      </c>
      <c r="FX24" s="38">
        <f>SUMIF('Rig 210'!$B:$B,Lists!$A$31,'Rig 210'!$F:$F)</f>
        <v>0</v>
      </c>
      <c r="FY24" s="38">
        <f>SUMIF('Rig 210'!$B:$B,Lists!$A$31,'Rig 210'!$G:$G)</f>
        <v>0</v>
      </c>
      <c r="FZ24" s="38">
        <f>SUMIF('Rig 210'!$B:$B,Lists!$A$31,'Rig 210'!$H:$H)</f>
        <v>0</v>
      </c>
      <c r="GA24" s="38">
        <f>SUMIF('Rig 210'!$B:$B,Lists!$A$31,'Rig 210'!$I:$I)</f>
        <v>0</v>
      </c>
      <c r="GB24" s="38">
        <f>SUMIF('Rig 210'!$B:$B,Lists!$A$32,'Rig 210'!$C:$C)</f>
        <v>0</v>
      </c>
      <c r="GC24" s="38">
        <f>SUMIF('Rig 210'!$B:$B,Lists!$A$32,'Rig 210'!$E:$E)</f>
        <v>0</v>
      </c>
      <c r="GD24" s="38">
        <f>SUMIF('Rig 210'!$B:$B,Lists!$A$32,'Rig 210'!$F:$F)</f>
        <v>0</v>
      </c>
      <c r="GE24" s="38">
        <f>SUMIF('Rig 210'!$B:$B,Lists!$A$32,'Rig 210'!$G:$G)</f>
        <v>0</v>
      </c>
      <c r="GF24" s="38">
        <f>SUMIF('Rig 210'!$B:$B,Lists!$A$32,'Rig 210'!$H:$H)</f>
        <v>0</v>
      </c>
      <c r="GG24" s="38">
        <f>SUMIF('Rig 210'!$B:$B,Lists!$A$32,'Rig 210'!$I:$I)</f>
        <v>0</v>
      </c>
      <c r="GH24" s="38">
        <f>SUMIF('Rig 210'!$B:$B,Lists!$A$33,'Rig 210'!$C:$C)</f>
        <v>0</v>
      </c>
      <c r="GI24" s="38">
        <f>SUMIF('Rig 210'!$B:$B,Lists!$A$33,'Rig 210'!$E:$E)</f>
        <v>0</v>
      </c>
      <c r="GJ24" s="38">
        <f>SUMIF('Rig 210'!$B:$B,Lists!$A$33,'Rig 210'!$F:$F)</f>
        <v>0</v>
      </c>
      <c r="GK24" s="38">
        <f>SUMIF('Rig 210'!$B:$B,Lists!$A$33,'Rig 210'!$G:$G)</f>
        <v>0</v>
      </c>
      <c r="GL24" s="38">
        <f>SUMIF('Rig 210'!$B:$B,Lists!$A$33,'Rig 210'!$H:$H)</f>
        <v>0</v>
      </c>
      <c r="GM24" s="38">
        <f>SUMIF('Rig 210'!$B:$B,Lists!$A$33,'Rig 210'!$I:$I)</f>
        <v>0</v>
      </c>
      <c r="GN24" s="38">
        <f>SUMIF('Rig 210'!$B:$B,Lists!$A$34,'Rig 210'!$C:$C)</f>
        <v>0</v>
      </c>
      <c r="GO24" s="38">
        <f>SUMIF('Rig 210'!$B:$B,Lists!$A$34,'Rig 210'!$E:$E)</f>
        <v>0</v>
      </c>
      <c r="GP24" s="38">
        <f>SUMIF('Rig 210'!$B:$B,Lists!$A$34,'Rig 210'!$F:$F)</f>
        <v>0</v>
      </c>
      <c r="GQ24" s="38">
        <f>SUMIF('Rig 210'!$B:$B,Lists!$A$34,'Rig 210'!$G:$G)</f>
        <v>0</v>
      </c>
      <c r="GR24" s="38">
        <f>SUMIF('Rig 210'!$B:$B,Lists!$A$34,'Rig 210'!$H:$H)</f>
        <v>0</v>
      </c>
      <c r="GS24" s="38">
        <f>SUMIF('Rig 210'!$B:$B,Lists!$A$34,'Rig 210'!$I:$I)</f>
        <v>0</v>
      </c>
      <c r="GT24" s="38">
        <f>SUMIF('Rig 210'!$B:$B,Lists!$A$35,'Rig 210'!$C:$C)</f>
        <v>0</v>
      </c>
      <c r="GU24" s="38">
        <f>SUMIF('Rig 210'!$B:$B,Lists!$A$35,'Rig 210'!$E:$E)</f>
        <v>0</v>
      </c>
      <c r="GV24" s="38">
        <f>SUMIF('Rig 210'!$B:$B,Lists!$A$35,'Rig 210'!$F:$F)</f>
        <v>0</v>
      </c>
      <c r="GW24" s="38">
        <f>SUMIF('Rig 210'!$B:$B,Lists!$A$35,'Rig 210'!$G:$G)</f>
        <v>0</v>
      </c>
      <c r="GX24" s="38">
        <f>SUMIF('Rig 210'!$B:$B,Lists!$A$35,'Rig 210'!$H:$H)</f>
        <v>0</v>
      </c>
      <c r="GY24" s="38">
        <f>SUMIF('Rig 210'!$B:$B,Lists!$A$35,'Rig 210'!$I:$I)</f>
        <v>0</v>
      </c>
      <c r="GZ24" s="38">
        <f>SUMIF('Rig 210'!$B:$B,Lists!$A$36,'Rig 210'!$C:$C)</f>
        <v>0</v>
      </c>
      <c r="HA24" s="38">
        <f>SUMIF('Rig 210'!$B:$B,Lists!$A$36,'Rig 210'!$E:$E)</f>
        <v>0</v>
      </c>
      <c r="HB24" s="38">
        <f>SUMIF('Rig 210'!$B:$B,Lists!$A$36,'Rig 210'!$F:$F)</f>
        <v>0</v>
      </c>
      <c r="HC24" s="38">
        <f>SUMIF('Rig 210'!$B:$B,Lists!$A$36,'Rig 210'!$G:$G)</f>
        <v>0</v>
      </c>
      <c r="HD24" s="38">
        <f>SUMIF('Rig 210'!$B:$B,Lists!$A$36,'Rig 210'!$H:$H)</f>
        <v>0</v>
      </c>
      <c r="HE24" s="38">
        <f>SUMIF('Rig 210'!$B:$B,Lists!$A$36,'Rig 210'!$I:$I)</f>
        <v>0</v>
      </c>
      <c r="HF24" s="38">
        <f>SUMIF('Rig 210'!$B:$B,Lists!$A$37,'Rig 210'!$C:$C)</f>
        <v>0</v>
      </c>
      <c r="HG24" s="38">
        <f>SUMIF('Rig 210'!$B:$B,Lists!$A$37,'Rig 210'!$E:$E)</f>
        <v>0</v>
      </c>
      <c r="HH24" s="38">
        <f>SUMIF('Rig 210'!$B:$B,Lists!$A$37,'Rig 210'!$F:$F)</f>
        <v>0</v>
      </c>
      <c r="HI24" s="38">
        <f>SUMIF('Rig 210'!$B:$B,Lists!$A$37,'Rig 210'!$G:$G)</f>
        <v>0</v>
      </c>
      <c r="HJ24" s="38">
        <f>SUMIF('Rig 210'!$B:$B,Lists!$A$37,'Rig 210'!$H:$H)</f>
        <v>0</v>
      </c>
      <c r="HK24" s="38">
        <f>SUMIF('Rig 210'!$B:$B,Lists!$A$37,'Rig 210'!$I:$I)</f>
        <v>0</v>
      </c>
      <c r="HL24" s="38">
        <f>SUMIF('Rig 210'!$B:$B,Lists!$A$38,'Rig 210'!$C:$C)</f>
        <v>0</v>
      </c>
      <c r="HM24" s="38">
        <f>SUMIF('Rig 210'!$B:$B,Lists!$A$38,'Rig 210'!$E:$E)</f>
        <v>0</v>
      </c>
      <c r="HN24" s="38">
        <f>SUMIF('Rig 210'!$B:$B,Lists!$A$38,'Rig 210'!$F:$F)</f>
        <v>0</v>
      </c>
      <c r="HO24" s="38">
        <f>SUMIF('Rig 210'!$B:$B,Lists!$A$38,'Rig 210'!$G:$G)</f>
        <v>0</v>
      </c>
      <c r="HP24" s="38">
        <f>SUMIF('Rig 210'!$B:$B,Lists!$A$38,'Rig 210'!$H:$H)</f>
        <v>0</v>
      </c>
      <c r="HQ24" s="38">
        <f>SUMIF('Rig 210'!$B:$B,Lists!$A$38,'Rig 210'!$I:$I)</f>
        <v>0</v>
      </c>
      <c r="HR24" s="38">
        <f>SUMIF('Rig 210'!$B:$B,Lists!$A$39,'Rig 210'!$C:$C)</f>
        <v>0</v>
      </c>
      <c r="HS24" s="38">
        <f>SUMIF('Rig 210'!$B:$B,Lists!$A$39,'Rig 210'!$E:$E)</f>
        <v>0</v>
      </c>
      <c r="HT24" s="38">
        <f>SUMIF('Rig 210'!$B:$B,Lists!$A$39,'Rig 210'!$F:$F)</f>
        <v>0</v>
      </c>
      <c r="HU24" s="38">
        <f>SUMIF('Rig 210'!$B:$B,Lists!$A$39,'Rig 210'!$G:$G)</f>
        <v>0</v>
      </c>
      <c r="HV24" s="38">
        <f>SUMIF('Rig 210'!$B:$B,Lists!$A$39,'Rig 210'!$H:$H)</f>
        <v>0</v>
      </c>
      <c r="HW24" s="38">
        <f>SUMIF('Rig 210'!$B:$B,Lists!$A$39,'Rig 210'!$I:$I)</f>
        <v>0</v>
      </c>
      <c r="HX24" s="38">
        <f>SUMIF('Rig 210'!$B:$B,Lists!$A$40,'Rig 210'!$C:$C)</f>
        <v>0</v>
      </c>
      <c r="HY24" s="38">
        <f>SUMIF('Rig 210'!$B:$B,Lists!$A$40,'Rig 210'!$E:$E)</f>
        <v>0</v>
      </c>
      <c r="HZ24" s="38">
        <f>SUMIF('Rig 210'!$B:$B,Lists!$A$40,'Rig 210'!$F:$F)</f>
        <v>0</v>
      </c>
      <c r="IA24" s="38">
        <f>SUMIF('Rig 210'!$B:$B,Lists!$A$40,'Rig 210'!$G:$G)</f>
        <v>0</v>
      </c>
      <c r="IB24" s="38">
        <f>SUMIF('Rig 210'!$B:$B,Lists!$A$40,'Rig 210'!$H:$H)</f>
        <v>0</v>
      </c>
      <c r="IC24" s="38">
        <f>SUMIF('Rig 210'!$B:$B,Lists!$A$40,'Rig 210'!$I:$I)</f>
        <v>0</v>
      </c>
      <c r="ID24" s="38">
        <f>SUMIF('Rig 210'!$B:$B,Lists!$A$41,'Rig 210'!$C:$C)</f>
        <v>4</v>
      </c>
      <c r="IE24" s="38">
        <f>SUMIF('Rig 210'!$B:$B,Lists!$A$41,'Rig 210'!$E:$E)</f>
        <v>0</v>
      </c>
      <c r="IF24" s="38">
        <f>SUMIF('Rig 210'!$B:$B,Lists!$A$41,'Rig 210'!$F:$F)</f>
        <v>0</v>
      </c>
      <c r="IG24" s="38">
        <f>SUMIF('Rig 210'!$B:$B,Lists!$A$41,'Rig 210'!$G:$G)</f>
        <v>0</v>
      </c>
      <c r="IH24" s="38">
        <f>SUMIF('Rig 210'!$B:$B,Lists!$A$41,'Rig 210'!$H:$H)</f>
        <v>0</v>
      </c>
      <c r="II24" s="38">
        <f>SUMIF('Rig 210'!$B:$B,Lists!$A$41,'Rig 210'!$I:$I)</f>
        <v>0</v>
      </c>
    </row>
    <row r="25" spans="1:243" ht="19.5" customHeight="1" x14ac:dyDescent="0.3">
      <c r="A25" s="35" t="s">
        <v>96</v>
      </c>
      <c r="B25" s="36">
        <f>'Rig 302'!D2</f>
        <v>46173</v>
      </c>
      <c r="C25" s="37" t="s">
        <v>77</v>
      </c>
      <c r="D25" s="38">
        <f>SUMIF('Rig 302'!$B:$B,Lists!$A$2,'Rig 302'!$C:$C)</f>
        <v>0</v>
      </c>
      <c r="E25" s="38">
        <f>SUMIF('Rig 302'!$B:$B,Lists!$A$2,'Rig 302'!$E:$E)</f>
        <v>0</v>
      </c>
      <c r="F25" s="38">
        <f>SUMIF('Rig 302'!$B:$B,Lists!$A$2,'Rig 302'!$F:$F)</f>
        <v>0</v>
      </c>
      <c r="G25" s="38">
        <f>SUMIF('Rig 302'!$B:$B,Lists!$A$2,'Rig 302'!$G:$G)</f>
        <v>0</v>
      </c>
      <c r="H25" s="38">
        <f>SUMIF('Rig 302'!$B:$B,Lists!$A$2,'Rig 302'!$H:$H)</f>
        <v>0</v>
      </c>
      <c r="I25" s="38">
        <f>SUMIF('Rig 302'!$B:$B,Lists!$A$2,'Rig 302'!$I:$I)</f>
        <v>0</v>
      </c>
      <c r="J25" s="38">
        <f>SUMIF('Rig 302'!$B:$B,Lists!$A$3,'Rig 302'!$C:$C)</f>
        <v>0</v>
      </c>
      <c r="K25" s="38">
        <f>SUMIF('Rig 302'!$B:$B,Lists!$A$3,'Rig 302'!$E:$E)</f>
        <v>0</v>
      </c>
      <c r="L25" s="38">
        <f>SUMIF('Rig 302'!$B:$B,Lists!$A$3,'Rig 302'!$F:$F)</f>
        <v>0</v>
      </c>
      <c r="M25" s="38">
        <f>SUMIF('Rig 302'!$B:$B,Lists!$A$3,'Rig 302'!$G:$G)</f>
        <v>0</v>
      </c>
      <c r="N25" s="38">
        <f>SUMIF('Rig 302'!$B:$B,Lists!$A$3,'Rig 302'!$H:$H)</f>
        <v>0</v>
      </c>
      <c r="O25" s="38">
        <f>SUMIF('Rig 302'!$B:$B,Lists!$A$3,'Rig 302'!$I:$I)</f>
        <v>0</v>
      </c>
      <c r="P25" s="38">
        <f>SUMIF('Rig 302'!$B:$B,Lists!$A$4,'Rig 302'!$C:$C)</f>
        <v>0</v>
      </c>
      <c r="Q25" s="38">
        <f>SUMIF('Rig 302'!$B:$B,Lists!$A$4,'Rig 302'!$E:$E)</f>
        <v>0</v>
      </c>
      <c r="R25" s="38">
        <f>SUMIF('Rig 302'!$B:$B,Lists!$A$4,'Rig 302'!$F:$F)</f>
        <v>0</v>
      </c>
      <c r="S25" s="38">
        <f>SUMIF('Rig 302'!$B:$B,Lists!$A$4,'Rig 302'!$G:$G)</f>
        <v>0</v>
      </c>
      <c r="T25" s="38">
        <f>SUMIF('Rig 302'!$B:$B,Lists!$A$4,'Rig 302'!$H:$H)</f>
        <v>0</v>
      </c>
      <c r="U25" s="38">
        <f>SUMIF('Rig 302'!$B:$B,Lists!$A$4,'Rig 302'!$I:$I)</f>
        <v>0</v>
      </c>
      <c r="V25" s="38">
        <f>SUMIF('Rig 302'!$B:$B,Lists!$A$5,'Rig 302'!$C:$C)</f>
        <v>0</v>
      </c>
      <c r="W25" s="38">
        <f>SUMIF('Rig 302'!$B:$B,Lists!$A$5,'Rig 302'!$E:$E)</f>
        <v>0</v>
      </c>
      <c r="X25" s="38">
        <f>SUMIF('Rig 302'!$B:$B,Lists!$A$5,'Rig 302'!$F:$F)</f>
        <v>0</v>
      </c>
      <c r="Y25" s="38">
        <f>SUMIF('Rig 302'!$B:$B,Lists!$A$5,'Rig 302'!$G:$G)</f>
        <v>0</v>
      </c>
      <c r="Z25" s="38">
        <f>SUMIF('Rig 302'!$B:$B,Lists!$A$5,'Rig 302'!$H:$H)</f>
        <v>0</v>
      </c>
      <c r="AA25" s="38">
        <f>SUMIF('Rig 302'!$B:$B,Lists!$A$5,'Rig 302'!$I:$I)</f>
        <v>0</v>
      </c>
      <c r="AB25" s="38">
        <f>SUMIF('Rig 302'!$B:$B,Lists!$A$6,'Rig 302'!$C:$C)</f>
        <v>0</v>
      </c>
      <c r="AC25" s="38">
        <f>SUMIF('Rig 302'!$B:$B,Lists!$A$6,'Rig 302'!$E:$E)</f>
        <v>0</v>
      </c>
      <c r="AD25" s="38">
        <f>SUMIF('Rig 302'!$B:$B,Lists!$A$6,'Rig 302'!$F:$F)</f>
        <v>0</v>
      </c>
      <c r="AE25" s="38">
        <f>SUMIF('Rig 302'!$B:$B,Lists!$A$6,'Rig 302'!$G:$G)</f>
        <v>0</v>
      </c>
      <c r="AF25" s="38">
        <f>SUMIF('Rig 302'!$B:$B,Lists!$A$6,'Rig 302'!$H:$H)</f>
        <v>0</v>
      </c>
      <c r="AG25" s="38">
        <f>SUMIF('Rig 302'!$B:$B,Lists!$A$6,'Rig 302'!$I:$I)</f>
        <v>0</v>
      </c>
      <c r="AH25" s="38">
        <f>SUMIF('Rig 302'!$B:$B,Lists!$A$7,'Rig 302'!$C:$C)</f>
        <v>0</v>
      </c>
      <c r="AI25" s="38">
        <f>SUMIF('Rig 302'!$B:$B,Lists!$A$7,'Rig 302'!$E:$E)</f>
        <v>0</v>
      </c>
      <c r="AJ25" s="38">
        <f>SUMIF('Rig 302'!$B:$B,Lists!$A$7,'Rig 302'!$F:$F)</f>
        <v>0</v>
      </c>
      <c r="AK25" s="38">
        <f>SUMIF('Rig 302'!$B:$B,Lists!$A$7,'Rig 302'!$G:$G)</f>
        <v>0</v>
      </c>
      <c r="AL25" s="38">
        <f>SUMIF('Rig 302'!$B:$B,Lists!$A$7,'Rig 302'!$H:$H)</f>
        <v>0</v>
      </c>
      <c r="AM25" s="38">
        <f>SUMIF('Rig 302'!$B:$B,Lists!$A$7,'Rig 302'!$I:$I)</f>
        <v>0</v>
      </c>
      <c r="AN25" s="38">
        <f>SUMIF('Rig 302'!$B:$B,Lists!$A$8,'Rig 302'!$C:$C)</f>
        <v>0</v>
      </c>
      <c r="AO25" s="38">
        <f>SUMIF('Rig 302'!$B:$B,Lists!$A$8,'Rig 302'!$E:$E)</f>
        <v>0</v>
      </c>
      <c r="AP25" s="38">
        <f>SUMIF('Rig 302'!$B:$B,Lists!$A$8,'Rig 302'!$F:$F)</f>
        <v>0</v>
      </c>
      <c r="AQ25" s="38">
        <f>SUMIF('Rig 302'!$B:$B,Lists!$A$8,'Rig 302'!$G:$G)</f>
        <v>0</v>
      </c>
      <c r="AR25" s="38">
        <f>SUMIF('Rig 302'!$B:$B,Lists!$A$8,'Rig 302'!$H:$H)</f>
        <v>0</v>
      </c>
      <c r="AS25" s="38">
        <f>SUMIF('Rig 302'!$B:$B,Lists!$A$8,'Rig 302'!$I:$I)</f>
        <v>0</v>
      </c>
      <c r="AT25" s="38">
        <f>SUMIF('Rig 302'!$B:$B,Lists!$A$9,'Rig 302'!$C:$C)</f>
        <v>0</v>
      </c>
      <c r="AU25" s="38">
        <f>SUMIF('Rig 302'!$B:$B,Lists!$A$9,'Rig 302'!$E:$E)</f>
        <v>0</v>
      </c>
      <c r="AV25" s="38">
        <f>SUMIF('Rig 302'!$B:$B,Lists!$A$9,'Rig 302'!$F:$F)</f>
        <v>0</v>
      </c>
      <c r="AW25" s="38">
        <f>SUMIF('Rig 302'!$B:$B,Lists!$A$9,'Rig 302'!$G:$G)</f>
        <v>0</v>
      </c>
      <c r="AX25" s="38">
        <f>SUMIF('Rig 302'!$B:$B,Lists!$A$9,'Rig 302'!$H:$H)</f>
        <v>0</v>
      </c>
      <c r="AY25" s="38">
        <f>SUMIF('Rig 302'!$B:$B,Lists!$A$9,'Rig 302'!$I:$I)</f>
        <v>0</v>
      </c>
      <c r="AZ25" s="38">
        <f>SUMIF('Rig 302'!$B:$B,Lists!$A$10,'Rig 302'!$C:$C)</f>
        <v>0</v>
      </c>
      <c r="BA25" s="38">
        <f>SUMIF('Rig 302'!$B:$B,Lists!$A$10,'Rig 302'!$E:$E)</f>
        <v>0</v>
      </c>
      <c r="BB25" s="38">
        <f>SUMIF('Rig 302'!$B:$B,Lists!$A$10,'Rig 302'!$F:$F)</f>
        <v>0</v>
      </c>
      <c r="BC25" s="38">
        <f>SUMIF('Rig 302'!$B:$B,Lists!$A$10,'Rig 302'!$G:$G)</f>
        <v>0</v>
      </c>
      <c r="BD25" s="38">
        <f>SUMIF('Rig 302'!$B:$B,Lists!$A$10,'Rig 302'!$H:$H)</f>
        <v>0</v>
      </c>
      <c r="BE25" s="38">
        <f>SUMIF('Rig 302'!$B:$B,Lists!$A$10,'Rig 302'!$I:$I)</f>
        <v>0</v>
      </c>
      <c r="BF25" s="38">
        <f>SUMIF('Rig 302'!$B:$B,Lists!$A$11,'Rig 302'!$C:$C)</f>
        <v>0</v>
      </c>
      <c r="BG25" s="38">
        <f>SUMIF('Rig 302'!$B:$B,Lists!$A$11,'Rig 302'!$E:$E)</f>
        <v>0</v>
      </c>
      <c r="BH25" s="38">
        <f>SUMIF('Rig 302'!$B:$B,Lists!$A$11,'Rig 302'!$F:$F)</f>
        <v>0</v>
      </c>
      <c r="BI25" s="38">
        <f>SUMIF('Rig 302'!$B:$B,Lists!$A$11,'Rig 302'!$G:$G)</f>
        <v>0</v>
      </c>
      <c r="BJ25" s="38">
        <f>SUMIF('Rig 302'!$B:$B,Lists!$A$11,'Rig 302'!$H:$H)</f>
        <v>0</v>
      </c>
      <c r="BK25" s="38">
        <f>SUMIF('Rig 302'!$B:$B,Lists!$A$11,'Rig 302'!$I:$I)</f>
        <v>0</v>
      </c>
      <c r="BL25" s="38">
        <f>SUMIF('Rig 302'!$B:$B,Lists!$A$12,'Rig 302'!$C:$C)</f>
        <v>0</v>
      </c>
      <c r="BM25" s="38">
        <f>SUMIF('Rig 302'!$B:$B,Lists!$A$12,'Rig 302'!$E:$E)</f>
        <v>0</v>
      </c>
      <c r="BN25" s="38">
        <f>SUMIF('Rig 302'!$B:$B,Lists!$A$12,'Rig 302'!$F:$F)</f>
        <v>0</v>
      </c>
      <c r="BO25" s="38">
        <f>SUMIF('Rig 302'!$B:$B,Lists!$A$12,'Rig 302'!$G:$G)</f>
        <v>0</v>
      </c>
      <c r="BP25" s="38">
        <f>SUMIF('Rig 302'!$B:$B,Lists!$A$12,'Rig 302'!$H:$H)</f>
        <v>0</v>
      </c>
      <c r="BQ25" s="38">
        <f>SUMIF('Rig 302'!$B:$B,Lists!$A$12,'Rig 302'!$I:$I)</f>
        <v>0</v>
      </c>
      <c r="BR25" s="38">
        <f>SUMIF('Rig 302'!$B:$B,Lists!$A$13,'Rig 302'!$C:$C)</f>
        <v>0</v>
      </c>
      <c r="BS25" s="38">
        <f>SUMIF('Rig 302'!$B:$B,Lists!$A$13,'Rig 302'!$E:$E)</f>
        <v>0</v>
      </c>
      <c r="BT25" s="38">
        <f>SUMIF('Rig 302'!$B:$B,Lists!$A$13,'Rig 302'!$F:$F)</f>
        <v>0</v>
      </c>
      <c r="BU25" s="38">
        <f>SUMIF('Rig 302'!$B:$B,Lists!$A$13,'Rig 302'!$G:$G)</f>
        <v>0</v>
      </c>
      <c r="BV25" s="38">
        <f>SUMIF('Rig 302'!$B:$B,Lists!$A$13,'Rig 302'!$H:$H)</f>
        <v>0</v>
      </c>
      <c r="BW25" s="38">
        <f>SUMIF('Rig 302'!$B:$B,Lists!$A$13,'Rig 302'!$I:$I)</f>
        <v>0</v>
      </c>
      <c r="BX25" s="38">
        <f>SUMIF('Rig 302'!$B:$B,Lists!$A$14,'Rig 302'!$C:$C)</f>
        <v>0</v>
      </c>
      <c r="BY25" s="38">
        <f>SUMIF('Rig 302'!$B:$B,Lists!$A$14,'Rig 302'!$E:$E)</f>
        <v>0</v>
      </c>
      <c r="BZ25" s="38">
        <f>SUMIF('Rig 302'!$B:$B,Lists!$A$14,'Rig 302'!$F:$F)</f>
        <v>0</v>
      </c>
      <c r="CA25" s="38">
        <f>SUMIF('Rig 302'!$B:$B,Lists!$A$14,'Rig 302'!$G:$G)</f>
        <v>0</v>
      </c>
      <c r="CB25" s="38">
        <f>SUMIF('Rig 302'!$B:$B,Lists!$A$14,'Rig 302'!$H:$H)</f>
        <v>0</v>
      </c>
      <c r="CC25" s="38">
        <f>SUMIF('Rig 302'!$B:$B,Lists!$A$14,'Rig 302'!$I:$I)</f>
        <v>0</v>
      </c>
      <c r="CD25" s="38">
        <f>SUMIF('Rig 302'!$B:$B,Lists!$A$15,'Rig 302'!$C:$C)</f>
        <v>0</v>
      </c>
      <c r="CE25" s="38">
        <f>SUMIF('Rig 302'!$B:$B,Lists!$A$15,'Rig 302'!$E:$E)</f>
        <v>0</v>
      </c>
      <c r="CF25" s="38">
        <f>SUMIF('Rig 302'!$B:$B,Lists!$A$15,'Rig 302'!$F:$F)</f>
        <v>0</v>
      </c>
      <c r="CG25" s="38">
        <f>SUMIF('Rig 302'!$B:$B,Lists!$A$15,'Rig 302'!$G:$G)</f>
        <v>0</v>
      </c>
      <c r="CH25" s="38">
        <f>SUMIF('Rig 302'!$B:$B,Lists!$A$15,'Rig 302'!$H:$H)</f>
        <v>0</v>
      </c>
      <c r="CI25" s="38">
        <f>SUMIF('Rig 302'!$B:$B,Lists!$A$15,'Rig 302'!$I:$I)</f>
        <v>0</v>
      </c>
      <c r="CJ25" s="38">
        <f>SUMIF('Rig 302'!$B:$B,Lists!$A$16,'Rig 302'!$C:$C)</f>
        <v>0</v>
      </c>
      <c r="CK25" s="38">
        <f>SUMIF('Rig 302'!$B:$B,Lists!$A$16,'Rig 302'!$E:$E)</f>
        <v>0</v>
      </c>
      <c r="CL25" s="38">
        <f>SUMIF('Rig 302'!$B:$B,Lists!$A$16,'Rig 302'!$F:$F)</f>
        <v>0</v>
      </c>
      <c r="CM25" s="38">
        <f>SUMIF('Rig 302'!$B:$B,Lists!$A$16,'Rig 302'!$G:$G)</f>
        <v>0</v>
      </c>
      <c r="CN25" s="38">
        <f>SUMIF('Rig 302'!$B:$B,Lists!$A$16,'Rig 302'!$H:$H)</f>
        <v>0</v>
      </c>
      <c r="CO25" s="38">
        <f>SUMIF('Rig 302'!$B:$B,Lists!$A$16,'Rig 302'!$I:$I)</f>
        <v>0</v>
      </c>
      <c r="CP25" s="38">
        <f>SUMIF('Rig 302'!$B:$B,Lists!$A$17,'Rig 302'!$C:$C)</f>
        <v>0</v>
      </c>
      <c r="CQ25" s="38">
        <f>SUMIF('Rig 302'!$B:$B,Lists!$A$17,'Rig 302'!$E:$E)</f>
        <v>0</v>
      </c>
      <c r="CR25" s="38">
        <f>SUMIF('Rig 302'!$B:$B,Lists!$A$17,'Rig 302'!$F:$F)</f>
        <v>0</v>
      </c>
      <c r="CS25" s="38">
        <f>SUMIF('Rig 302'!$B:$B,Lists!$A$17,'Rig 302'!$G:$G)</f>
        <v>0</v>
      </c>
      <c r="CT25" s="38">
        <f>SUMIF('Rig 302'!$B:$B,Lists!$A$17,'Rig 302'!$H:$H)</f>
        <v>0</v>
      </c>
      <c r="CU25" s="38">
        <f>SUMIF('Rig 302'!$B:$B,Lists!$A$17,'Rig 302'!$I:$I)</f>
        <v>0</v>
      </c>
      <c r="CV25" s="38">
        <f>SUMIF('Rig 302'!$B:$B,Lists!$A$18,'Rig 302'!$C:$C)</f>
        <v>0</v>
      </c>
      <c r="CW25" s="38">
        <f>SUMIF('Rig 302'!$B:$B,Lists!$A$18,'Rig 302'!$E:$E)</f>
        <v>0</v>
      </c>
      <c r="CX25" s="38">
        <f>SUMIF('Rig 302'!$B:$B,Lists!$A$18,'Rig 302'!$F:$F)</f>
        <v>0</v>
      </c>
      <c r="CY25" s="38">
        <f>SUMIF('Rig 302'!$B:$B,Lists!$A$18,'Rig 302'!$G:$G)</f>
        <v>0</v>
      </c>
      <c r="CZ25" s="38">
        <f>SUMIF('Rig 302'!$B:$B,Lists!$A$18,'Rig 302'!$H:$H)</f>
        <v>0</v>
      </c>
      <c r="DA25" s="38">
        <f>SUMIF('Rig 302'!$B:$B,Lists!$A$18,'Rig 302'!$I:$I)</f>
        <v>0</v>
      </c>
      <c r="DB25" s="38">
        <f>SUMIF('Rig 302'!$B:$B,Lists!$A$19,'Rig 302'!$C:$C)</f>
        <v>0</v>
      </c>
      <c r="DC25" s="38">
        <f>SUMIF('Rig 302'!$B:$B,Lists!$A$19,'Rig 302'!$E:$E)</f>
        <v>0</v>
      </c>
      <c r="DD25" s="38">
        <f>SUMIF('Rig 302'!$B:$B,Lists!$A$19,'Rig 302'!$F:$F)</f>
        <v>0</v>
      </c>
      <c r="DE25" s="38">
        <f>SUMIF('Rig 302'!$B:$B,Lists!$A$19,'Rig 302'!$G:$G)</f>
        <v>0</v>
      </c>
      <c r="DF25" s="38">
        <f>SUMIF('Rig 302'!$B:$B,Lists!$A$19,'Rig 302'!$H:$H)</f>
        <v>0</v>
      </c>
      <c r="DG25" s="38">
        <f>SUMIF('Rig 302'!$B:$B,Lists!$A$19,'Rig 302'!$I:$I)</f>
        <v>0</v>
      </c>
      <c r="DH25" s="38">
        <f>SUMIF('Rig 302'!$B:$B,Lists!$A$20,'Rig 302'!$C:$C)</f>
        <v>0</v>
      </c>
      <c r="DI25" s="38">
        <f>SUMIF('Rig 302'!$B:$B,Lists!$A$20,'Rig 302'!$E:$E)</f>
        <v>0</v>
      </c>
      <c r="DJ25" s="38">
        <f>SUMIF('Rig 302'!$B:$B,Lists!$A$20,'Rig 302'!$F:$F)</f>
        <v>0</v>
      </c>
      <c r="DK25" s="38">
        <f>SUMIF('Rig 302'!$B:$B,Lists!$A$20,'Rig 302'!$G:$G)</f>
        <v>0</v>
      </c>
      <c r="DL25" s="38">
        <f>SUMIF('Rig 302'!$B:$B,Lists!$A$20,'Rig 302'!$H:$H)</f>
        <v>0</v>
      </c>
      <c r="DM25" s="38">
        <f>SUMIF('Rig 302'!$B:$B,Lists!$A$20,'Rig 302'!$I:$I)</f>
        <v>0</v>
      </c>
      <c r="DN25" s="38">
        <f>SUMIF('Rig 302'!$B:$B,Lists!$A$21,'Rig 302'!$C:$C)</f>
        <v>0</v>
      </c>
      <c r="DO25" s="38">
        <f>SUMIF('Rig 302'!$B:$B,Lists!$A$21,'Rig 302'!$E:$E)</f>
        <v>0</v>
      </c>
      <c r="DP25" s="38">
        <f>SUMIF('Rig 302'!$B:$B,Lists!$A$21,'Rig 302'!$F:$F)</f>
        <v>0</v>
      </c>
      <c r="DQ25" s="38">
        <f>SUMIF('Rig 302'!$B:$B,Lists!$A$21,'Rig 302'!$G:$G)</f>
        <v>0</v>
      </c>
      <c r="DR25" s="38">
        <f>SUMIF('Rig 302'!$B:$B,Lists!$A$21,'Rig 302'!$H:$H)</f>
        <v>0</v>
      </c>
      <c r="DS25" s="38">
        <f>SUMIF('Rig 302'!$B:$B,Lists!$A$21,'Rig 302'!$I:$I)</f>
        <v>0</v>
      </c>
      <c r="DT25" s="38">
        <f>SUMIF('Rig 302'!$B:$B,Lists!$A$22,'Rig 302'!$C:$C)</f>
        <v>0</v>
      </c>
      <c r="DU25" s="38">
        <f>SUMIF('Rig 302'!$B:$B,Lists!$A$22,'Rig 302'!$E:$E)</f>
        <v>0</v>
      </c>
      <c r="DV25" s="38">
        <f>SUMIF('Rig 302'!$B:$B,Lists!$A$22,'Rig 302'!$F:$F)</f>
        <v>0</v>
      </c>
      <c r="DW25" s="38">
        <f>SUMIF('Rig 302'!$B:$B,Lists!$A$22,'Rig 302'!$G:$G)</f>
        <v>0</v>
      </c>
      <c r="DX25" s="38">
        <f>SUMIF('Rig 302'!$B:$B,Lists!$A$22,'Rig 302'!$H:$H)</f>
        <v>0</v>
      </c>
      <c r="DY25" s="38">
        <f>SUMIF('Rig 302'!$B:$B,Lists!$A$22,'Rig 302'!$I:$I)</f>
        <v>0</v>
      </c>
      <c r="DZ25" s="38">
        <f>SUMIF('Rig 302'!$B:$B,Lists!$A$23,'Rig 302'!$C:$C)</f>
        <v>0</v>
      </c>
      <c r="EA25" s="38">
        <f>SUMIF('Rig 302'!$B:$B,Lists!$A$23,'Rig 302'!$E:$E)</f>
        <v>0</v>
      </c>
      <c r="EB25" s="38">
        <f>SUMIF('Rig 302'!$B:$B,Lists!$A$23,'Rig 302'!$F:$F)</f>
        <v>0</v>
      </c>
      <c r="EC25" s="38">
        <f>SUMIF('Rig 302'!$B:$B,Lists!$A$23,'Rig 302'!$G:$G)</f>
        <v>0</v>
      </c>
      <c r="ED25" s="38">
        <f>SUMIF('Rig 302'!$B:$B,Lists!$A$23,'Rig 302'!$H:$H)</f>
        <v>0</v>
      </c>
      <c r="EE25" s="38">
        <f>SUMIF('Rig 302'!$B:$B,Lists!$A$23,'Rig 302'!$I:$I)</f>
        <v>0</v>
      </c>
      <c r="EF25" s="38">
        <f>SUMIF('Rig 302'!$B:$B,Lists!$A$24,'Rig 302'!$C:$C)</f>
        <v>0</v>
      </c>
      <c r="EG25" s="38">
        <f>SUMIF('Rig 302'!$B:$B,Lists!$A$24,'Rig 302'!$E:$E)</f>
        <v>0</v>
      </c>
      <c r="EH25" s="38">
        <f>SUMIF('Rig 302'!$B:$B,Lists!$A$24,'Rig 302'!$F:$F)</f>
        <v>0</v>
      </c>
      <c r="EI25" s="38">
        <f>SUMIF('Rig 302'!$B:$B,Lists!$A$24,'Rig 302'!$G:$G)</f>
        <v>0</v>
      </c>
      <c r="EJ25" s="38">
        <f>SUMIF('Rig 302'!$B:$B,Lists!$A$24,'Rig 302'!$H:$H)</f>
        <v>0</v>
      </c>
      <c r="EK25" s="38">
        <f>SUMIF('Rig 302'!$B:$B,Lists!$A$24,'Rig 302'!$I:$I)</f>
        <v>0</v>
      </c>
      <c r="EL25" s="38">
        <f>SUMIF('Rig 302'!$B:$B,Lists!$A$25,'Rig 302'!$C:$C)</f>
        <v>0</v>
      </c>
      <c r="EM25" s="38">
        <f>SUMIF('Rig 302'!$B:$B,Lists!$A$25,'Rig 302'!$E:$E)</f>
        <v>0</v>
      </c>
      <c r="EN25" s="38">
        <f>SUMIF('Rig 302'!$B:$B,Lists!$A$25,'Rig 302'!$F:$F)</f>
        <v>0</v>
      </c>
      <c r="EO25" s="38">
        <f>SUMIF('Rig 302'!$B:$B,Lists!$A$25,'Rig 302'!$G:$G)</f>
        <v>0</v>
      </c>
      <c r="EP25" s="38">
        <f>SUMIF('Rig 302'!$B:$B,Lists!$A$25,'Rig 302'!$H:$H)</f>
        <v>0</v>
      </c>
      <c r="EQ25" s="38">
        <f>SUMIF('Rig 302'!$B:$B,Lists!$A$25,'Rig 302'!$I:$I)</f>
        <v>0</v>
      </c>
      <c r="ER25" s="38">
        <f>SUMIF('Rig 302'!$B:$B,Lists!$A$26,'Rig 302'!$C:$C)</f>
        <v>0</v>
      </c>
      <c r="ES25" s="38">
        <f>SUMIF('Rig 302'!$B:$B,Lists!$A$26,'Rig 302'!$E:$E)</f>
        <v>0</v>
      </c>
      <c r="ET25" s="38">
        <f>SUMIF('Rig 302'!$B:$B,Lists!$A$26,'Rig 302'!$F:$F)</f>
        <v>0</v>
      </c>
      <c r="EU25" s="38">
        <f>SUMIF('Rig 302'!$B:$B,Lists!$A$26,'Rig 302'!$G:$G)</f>
        <v>0</v>
      </c>
      <c r="EV25" s="38">
        <f>SUMIF('Rig 302'!$B:$B,Lists!$A$26,'Rig 302'!$H:$H)</f>
        <v>0</v>
      </c>
      <c r="EW25" s="38">
        <f>SUMIF('Rig 302'!$B:$B,Lists!$A$26,'Rig 302'!$I:$I)</f>
        <v>0</v>
      </c>
      <c r="EX25" s="38">
        <f>SUMIF('Rig 302'!$B:$B,Lists!$A$27,'Rig 302'!$C:$C)</f>
        <v>0</v>
      </c>
      <c r="EY25" s="38">
        <f>SUMIF('Rig 302'!$B:$B,Lists!$A$27,'Rig 302'!$E:$E)</f>
        <v>0</v>
      </c>
      <c r="EZ25" s="38">
        <f>SUMIF('Rig 302'!$B:$B,Lists!$A$27,'Rig 302'!$F:$F)</f>
        <v>0</v>
      </c>
      <c r="FA25" s="38">
        <f>SUMIF('Rig 302'!$B:$B,Lists!$A$27,'Rig 302'!$G:$G)</f>
        <v>0</v>
      </c>
      <c r="FB25" s="38">
        <f>SUMIF('Rig 302'!$B:$B,Lists!$A$27,'Rig 302'!$H:$H)</f>
        <v>0</v>
      </c>
      <c r="FC25" s="38">
        <f>SUMIF('Rig 302'!$B:$B,Lists!$A$27,'Rig 302'!$I:$I)</f>
        <v>0</v>
      </c>
      <c r="FD25" s="38">
        <f>SUMIF('Rig 302'!$B:$B,Lists!$A$28,'Rig 302'!$C:$C)</f>
        <v>0</v>
      </c>
      <c r="FE25" s="38">
        <f>SUMIF('Rig 302'!$B:$B,Lists!$A$28,'Rig 302'!$E:$E)</f>
        <v>0</v>
      </c>
      <c r="FF25" s="38">
        <f>SUMIF('Rig 302'!$B:$B,Lists!$A$28,'Rig 302'!$F:$F)</f>
        <v>0</v>
      </c>
      <c r="FG25" s="38">
        <f>SUMIF('Rig 302'!$B:$B,Lists!$A$28,'Rig 302'!$G:$G)</f>
        <v>0</v>
      </c>
      <c r="FH25" s="38">
        <f>SUMIF('Rig 302'!$B:$B,Lists!$A$28,'Rig 302'!$H:$H)</f>
        <v>0</v>
      </c>
      <c r="FI25" s="38">
        <f>SUMIF('Rig 302'!$B:$B,Lists!$A$28,'Rig 302'!$I:$I)</f>
        <v>0</v>
      </c>
      <c r="FJ25" s="38">
        <f>SUMIF('Rig 302'!$B:$B,Lists!$A$29,'Rig 302'!$C:$C)</f>
        <v>0</v>
      </c>
      <c r="FK25" s="38">
        <f>SUMIF('Rig 302'!$B:$B,Lists!$A$29,'Rig 302'!$E:$E)</f>
        <v>0</v>
      </c>
      <c r="FL25" s="38">
        <f>SUMIF('Rig 302'!$B:$B,Lists!$A$29,'Rig 302'!$F:$F)</f>
        <v>0</v>
      </c>
      <c r="FM25" s="38">
        <f>SUMIF('Rig 302'!$B:$B,Lists!$A$29,'Rig 302'!$G:$G)</f>
        <v>0</v>
      </c>
      <c r="FN25" s="38">
        <f>SUMIF('Rig 302'!$B:$B,Lists!$A$29,'Rig 302'!$H:$H)</f>
        <v>0</v>
      </c>
      <c r="FO25" s="38">
        <f>SUMIF('Rig 302'!$B:$B,Lists!$A$29,'Rig 302'!$I:$I)</f>
        <v>0</v>
      </c>
      <c r="FP25" s="38">
        <f>SUMIF('Rig 302'!$B:$B,Lists!$A$30,'Rig 302'!$C:$C)</f>
        <v>0</v>
      </c>
      <c r="FQ25" s="38">
        <f>SUMIF('Rig 302'!$B:$B,Lists!$A$30,'Rig 302'!$E:$E)</f>
        <v>0</v>
      </c>
      <c r="FR25" s="38">
        <f>SUMIF('Rig 302'!$B:$B,Lists!$A$30,'Rig 302'!$F:$F)</f>
        <v>0</v>
      </c>
      <c r="FS25" s="38">
        <f>SUMIF('Rig 302'!$B:$B,Lists!$A$30,'Rig 302'!$G:$G)</f>
        <v>0</v>
      </c>
      <c r="FT25" s="38">
        <f>SUMIF('Rig 302'!$B:$B,Lists!$A$30,'Rig 302'!$H:$H)</f>
        <v>0</v>
      </c>
      <c r="FU25" s="38">
        <f>SUMIF('Rig 302'!$B:$B,Lists!$A$30,'Rig 302'!$I:$I)</f>
        <v>0</v>
      </c>
      <c r="FV25" s="38">
        <f>SUMIF('Rig 302'!$B:$B,Lists!$A$31,'Rig 302'!$C:$C)</f>
        <v>0</v>
      </c>
      <c r="FW25" s="38">
        <f>SUMIF('Rig 302'!$B:$B,Lists!$A$31,'Rig 302'!$E:$E)</f>
        <v>0</v>
      </c>
      <c r="FX25" s="38">
        <f>SUMIF('Rig 302'!$B:$B,Lists!$A$31,'Rig 302'!$F:$F)</f>
        <v>0</v>
      </c>
      <c r="FY25" s="38">
        <f>SUMIF('Rig 302'!$B:$B,Lists!$A$31,'Rig 302'!$G:$G)</f>
        <v>0</v>
      </c>
      <c r="FZ25" s="38">
        <f>SUMIF('Rig 302'!$B:$B,Lists!$A$31,'Rig 302'!$H:$H)</f>
        <v>0</v>
      </c>
      <c r="GA25" s="38">
        <f>SUMIF('Rig 302'!$B:$B,Lists!$A$31,'Rig 302'!$I:$I)</f>
        <v>0</v>
      </c>
      <c r="GB25" s="38">
        <f>SUMIF('Rig 302'!$B:$B,Lists!$A$32,'Rig 302'!$C:$C)</f>
        <v>0</v>
      </c>
      <c r="GC25" s="38">
        <f>SUMIF('Rig 302'!$B:$B,Lists!$A$32,'Rig 302'!$E:$E)</f>
        <v>0</v>
      </c>
      <c r="GD25" s="38">
        <f>SUMIF('Rig 302'!$B:$B,Lists!$A$32,'Rig 302'!$F:$F)</f>
        <v>0</v>
      </c>
      <c r="GE25" s="38">
        <f>SUMIF('Rig 302'!$B:$B,Lists!$A$32,'Rig 302'!$G:$G)</f>
        <v>0</v>
      </c>
      <c r="GF25" s="38">
        <f>SUMIF('Rig 302'!$B:$B,Lists!$A$32,'Rig 302'!$H:$H)</f>
        <v>0</v>
      </c>
      <c r="GG25" s="38">
        <f>SUMIF('Rig 302'!$B:$B,Lists!$A$32,'Rig 302'!$I:$I)</f>
        <v>0</v>
      </c>
      <c r="GH25" s="38">
        <f>SUMIF('Rig 302'!$B:$B,Lists!$A$33,'Rig 302'!$C:$C)</f>
        <v>0</v>
      </c>
      <c r="GI25" s="38">
        <f>SUMIF('Rig 302'!$B:$B,Lists!$A$33,'Rig 302'!$E:$E)</f>
        <v>0</v>
      </c>
      <c r="GJ25" s="38">
        <f>SUMIF('Rig 302'!$B:$B,Lists!$A$33,'Rig 302'!$F:$F)</f>
        <v>0</v>
      </c>
      <c r="GK25" s="38">
        <f>SUMIF('Rig 302'!$B:$B,Lists!$A$33,'Rig 302'!$G:$G)</f>
        <v>0</v>
      </c>
      <c r="GL25" s="38">
        <f>SUMIF('Rig 302'!$B:$B,Lists!$A$33,'Rig 302'!$H:$H)</f>
        <v>0</v>
      </c>
      <c r="GM25" s="38">
        <f>SUMIF('Rig 302'!$B:$B,Lists!$A$33,'Rig 302'!$I:$I)</f>
        <v>0</v>
      </c>
      <c r="GN25" s="38">
        <f>SUMIF('Rig 302'!$B:$B,Lists!$A$34,'Rig 302'!$C:$C)</f>
        <v>0</v>
      </c>
      <c r="GO25" s="38">
        <f>SUMIF('Rig 302'!$B:$B,Lists!$A$34,'Rig 302'!$E:$E)</f>
        <v>0</v>
      </c>
      <c r="GP25" s="38">
        <f>SUMIF('Rig 302'!$B:$B,Lists!$A$34,'Rig 302'!$F:$F)</f>
        <v>0</v>
      </c>
      <c r="GQ25" s="38">
        <f>SUMIF('Rig 302'!$B:$B,Lists!$A$34,'Rig 302'!$G:$G)</f>
        <v>0</v>
      </c>
      <c r="GR25" s="38">
        <f>SUMIF('Rig 302'!$B:$B,Lists!$A$34,'Rig 302'!$H:$H)</f>
        <v>0</v>
      </c>
      <c r="GS25" s="38">
        <f>SUMIF('Rig 302'!$B:$B,Lists!$A$34,'Rig 302'!$I:$I)</f>
        <v>0</v>
      </c>
      <c r="GT25" s="38">
        <f>SUMIF('Rig 302'!$B:$B,Lists!$A$35,'Rig 302'!$C:$C)</f>
        <v>0</v>
      </c>
      <c r="GU25" s="38">
        <f>SUMIF('Rig 302'!$B:$B,Lists!$A$35,'Rig 302'!$E:$E)</f>
        <v>0</v>
      </c>
      <c r="GV25" s="38">
        <f>SUMIF('Rig 302'!$B:$B,Lists!$A$35,'Rig 302'!$F:$F)</f>
        <v>0</v>
      </c>
      <c r="GW25" s="38">
        <f>SUMIF('Rig 302'!$B:$B,Lists!$A$35,'Rig 302'!$G:$G)</f>
        <v>0</v>
      </c>
      <c r="GX25" s="38">
        <f>SUMIF('Rig 302'!$B:$B,Lists!$A$35,'Rig 302'!$H:$H)</f>
        <v>0</v>
      </c>
      <c r="GY25" s="38">
        <f>SUMIF('Rig 302'!$B:$B,Lists!$A$35,'Rig 302'!$I:$I)</f>
        <v>0</v>
      </c>
      <c r="GZ25" s="38">
        <f>SUMIF('Rig 302'!$B:$B,Lists!$A$36,'Rig 302'!$C:$C)</f>
        <v>0</v>
      </c>
      <c r="HA25" s="38">
        <f>SUMIF('Rig 302'!$B:$B,Lists!$A$36,'Rig 302'!$E:$E)</f>
        <v>0</v>
      </c>
      <c r="HB25" s="38">
        <f>SUMIF('Rig 302'!$B:$B,Lists!$A$36,'Rig 302'!$F:$F)</f>
        <v>0</v>
      </c>
      <c r="HC25" s="38">
        <f>SUMIF('Rig 302'!$B:$B,Lists!$A$36,'Rig 302'!$G:$G)</f>
        <v>0</v>
      </c>
      <c r="HD25" s="38">
        <f>SUMIF('Rig 302'!$B:$B,Lists!$A$36,'Rig 302'!$H:$H)</f>
        <v>0</v>
      </c>
      <c r="HE25" s="38">
        <f>SUMIF('Rig 302'!$B:$B,Lists!$A$36,'Rig 302'!$I:$I)</f>
        <v>0</v>
      </c>
      <c r="HF25" s="38">
        <f>SUMIF('Rig 302'!$B:$B,Lists!$A$37,'Rig 302'!$C:$C)</f>
        <v>0</v>
      </c>
      <c r="HG25" s="38">
        <f>SUMIF('Rig 302'!$B:$B,Lists!$A$37,'Rig 302'!$E:$E)</f>
        <v>0</v>
      </c>
      <c r="HH25" s="38">
        <f>SUMIF('Rig 302'!$B:$B,Lists!$A$37,'Rig 302'!$F:$F)</f>
        <v>0</v>
      </c>
      <c r="HI25" s="38">
        <f>SUMIF('Rig 302'!$B:$B,Lists!$A$37,'Rig 302'!$G:$G)</f>
        <v>0</v>
      </c>
      <c r="HJ25" s="38">
        <f>SUMIF('Rig 302'!$B:$B,Lists!$A$37,'Rig 302'!$H:$H)</f>
        <v>0</v>
      </c>
      <c r="HK25" s="38">
        <f>SUMIF('Rig 302'!$B:$B,Lists!$A$37,'Rig 302'!$I:$I)</f>
        <v>0</v>
      </c>
      <c r="HL25" s="38">
        <f>SUMIF('Rig 302'!$B:$B,Lists!$A$38,'Rig 302'!$C:$C)</f>
        <v>0</v>
      </c>
      <c r="HM25" s="38">
        <f>SUMIF('Rig 302'!$B:$B,Lists!$A$38,'Rig 302'!$E:$E)</f>
        <v>0</v>
      </c>
      <c r="HN25" s="38">
        <f>SUMIF('Rig 302'!$B:$B,Lists!$A$38,'Rig 302'!$F:$F)</f>
        <v>0</v>
      </c>
      <c r="HO25" s="38">
        <f>SUMIF('Rig 302'!$B:$B,Lists!$A$38,'Rig 302'!$G:$G)</f>
        <v>0</v>
      </c>
      <c r="HP25" s="38">
        <f>SUMIF('Rig 302'!$B:$B,Lists!$A$38,'Rig 302'!$H:$H)</f>
        <v>0</v>
      </c>
      <c r="HQ25" s="38">
        <f>SUMIF('Rig 302'!$B:$B,Lists!$A$38,'Rig 302'!$I:$I)</f>
        <v>0</v>
      </c>
      <c r="HR25" s="38">
        <f>SUMIF('Rig 302'!$B:$B,Lists!$A$39,'Rig 302'!$C:$C)</f>
        <v>0</v>
      </c>
      <c r="HS25" s="38">
        <f>SUMIF('Rig 302'!$B:$B,Lists!$A$39,'Rig 302'!$E:$E)</f>
        <v>0</v>
      </c>
      <c r="HT25" s="38">
        <f>SUMIF('Rig 302'!$B:$B,Lists!$A$39,'Rig 302'!$F:$F)</f>
        <v>0</v>
      </c>
      <c r="HU25" s="38">
        <f>SUMIF('Rig 302'!$B:$B,Lists!$A$39,'Rig 302'!$G:$G)</f>
        <v>0</v>
      </c>
      <c r="HV25" s="38">
        <f>SUMIF('Rig 302'!$B:$B,Lists!$A$39,'Rig 302'!$H:$H)</f>
        <v>0</v>
      </c>
      <c r="HW25" s="38">
        <f>SUMIF('Rig 302'!$B:$B,Lists!$A$39,'Rig 302'!$I:$I)</f>
        <v>0</v>
      </c>
      <c r="HX25" s="38">
        <f>SUMIF('Rig 302'!$B:$B,Lists!$A$40,'Rig 302'!$C:$C)</f>
        <v>0</v>
      </c>
      <c r="HY25" s="38">
        <f>SUMIF('Rig 302'!$B:$B,Lists!$A$40,'Rig 302'!$E:$E)</f>
        <v>0</v>
      </c>
      <c r="HZ25" s="38">
        <f>SUMIF('Rig 302'!$B:$B,Lists!$A$40,'Rig 302'!$F:$F)</f>
        <v>0</v>
      </c>
      <c r="IA25" s="38">
        <f>SUMIF('Rig 302'!$B:$B,Lists!$A$40,'Rig 302'!$G:$G)</f>
        <v>0</v>
      </c>
      <c r="IB25" s="38">
        <f>SUMIF('Rig 302'!$B:$B,Lists!$A$40,'Rig 302'!$H:$H)</f>
        <v>0</v>
      </c>
      <c r="IC25" s="38">
        <f>SUMIF('Rig 302'!$B:$B,Lists!$A$40,'Rig 302'!$I:$I)</f>
        <v>0</v>
      </c>
      <c r="ID25" s="38">
        <f>SUMIF('Rig 302'!$B:$B,Lists!$A$41,'Rig 302'!$C:$C)</f>
        <v>0</v>
      </c>
      <c r="IE25" s="38">
        <f>SUMIF('Rig 302'!$B:$B,Lists!$A$41,'Rig 302'!$E:$E)</f>
        <v>0</v>
      </c>
      <c r="IF25" s="38">
        <f>SUMIF('Rig 302'!$B:$B,Lists!$A$41,'Rig 302'!$F:$F)</f>
        <v>0</v>
      </c>
      <c r="IG25" s="38">
        <f>SUMIF('Rig 302'!$B:$B,Lists!$A$41,'Rig 302'!$G:$G)</f>
        <v>0</v>
      </c>
      <c r="IH25" s="38">
        <f>SUMIF('Rig 302'!$B:$B,Lists!$A$41,'Rig 302'!$H:$H)</f>
        <v>0</v>
      </c>
      <c r="II25" s="38">
        <f>SUMIF('Rig 302'!$B:$B,Lists!$A$41,'Rig 302'!$I:$I)</f>
        <v>0</v>
      </c>
    </row>
    <row r="26" spans="1:243" ht="19.5" customHeight="1" x14ac:dyDescent="0.3">
      <c r="A26" s="31" t="s">
        <v>97</v>
      </c>
      <c r="B26" s="32">
        <f>'Rig 303'!D2</f>
        <v>46173</v>
      </c>
      <c r="C26" s="33" t="s">
        <v>77</v>
      </c>
      <c r="D26" s="34">
        <f>SUMIF('Rig 303'!$B:$B,Lists!$A$2,'Rig 303'!$C:$C)</f>
        <v>0</v>
      </c>
      <c r="E26" s="34">
        <f>SUMIF('Rig 303'!$B:$B,Lists!$A$2,'Rig 303'!$E:$E)</f>
        <v>0</v>
      </c>
      <c r="F26" s="34">
        <f>SUMIF('Rig 303'!$B:$B,Lists!$A$2,'Rig 303'!$F:$F)</f>
        <v>0</v>
      </c>
      <c r="G26" s="34">
        <f>SUMIF('Rig 303'!$B:$B,Lists!$A$2,'Rig 303'!$G:$G)</f>
        <v>0</v>
      </c>
      <c r="H26" s="34">
        <f>SUMIF('Rig 303'!$B:$B,Lists!$A$2,'Rig 303'!$H:$H)</f>
        <v>0</v>
      </c>
      <c r="I26" s="34">
        <f>SUMIF('Rig 303'!$B:$B,Lists!$A$2,'Rig 303'!$I:$I)</f>
        <v>0</v>
      </c>
      <c r="J26" s="34">
        <f>SUMIF('Rig 303'!$B:$B,Lists!$A$3,'Rig 303'!$C:$C)</f>
        <v>0</v>
      </c>
      <c r="K26" s="34">
        <f>SUMIF('Rig 303'!$B:$B,Lists!$A$3,'Rig 303'!$E:$E)</f>
        <v>0</v>
      </c>
      <c r="L26" s="34">
        <f>SUMIF('Rig 303'!$B:$B,Lists!$A$3,'Rig 303'!$F:$F)</f>
        <v>0</v>
      </c>
      <c r="M26" s="34">
        <f>SUMIF('Rig 303'!$B:$B,Lists!$A$3,'Rig 303'!$G:$G)</f>
        <v>0</v>
      </c>
      <c r="N26" s="34">
        <f>SUMIF('Rig 303'!$B:$B,Lists!$A$3,'Rig 303'!$H:$H)</f>
        <v>0</v>
      </c>
      <c r="O26" s="34">
        <f>SUMIF('Rig 303'!$B:$B,Lists!$A$3,'Rig 303'!$I:$I)</f>
        <v>0</v>
      </c>
      <c r="P26" s="34">
        <f>SUMIF('Rig 303'!$B:$B,Lists!$A$4,'Rig 303'!$C:$C)</f>
        <v>0</v>
      </c>
      <c r="Q26" s="34">
        <f>SUMIF('Rig 303'!$B:$B,Lists!$A$4,'Rig 303'!$E:$E)</f>
        <v>0</v>
      </c>
      <c r="R26" s="34">
        <f>SUMIF('Rig 303'!$B:$B,Lists!$A$4,'Rig 303'!$F:$F)</f>
        <v>0</v>
      </c>
      <c r="S26" s="34">
        <f>SUMIF('Rig 303'!$B:$B,Lists!$A$4,'Rig 303'!$G:$G)</f>
        <v>0</v>
      </c>
      <c r="T26" s="34">
        <f>SUMIF('Rig 303'!$B:$B,Lists!$A$4,'Rig 303'!$H:$H)</f>
        <v>0</v>
      </c>
      <c r="U26" s="34">
        <f>SUMIF('Rig 303'!$B:$B,Lists!$A$4,'Rig 303'!$I:$I)</f>
        <v>0</v>
      </c>
      <c r="V26" s="34">
        <f>SUMIF('Rig 303'!$B:$B,Lists!$A$5,'Rig 303'!$C:$C)</f>
        <v>0</v>
      </c>
      <c r="W26" s="34">
        <f>SUMIF('Rig 303'!$B:$B,Lists!$A$5,'Rig 303'!$E:$E)</f>
        <v>0</v>
      </c>
      <c r="X26" s="34">
        <f>SUMIF('Rig 303'!$B:$B,Lists!$A$5,'Rig 303'!$F:$F)</f>
        <v>0</v>
      </c>
      <c r="Y26" s="34">
        <f>SUMIF('Rig 303'!$B:$B,Lists!$A$5,'Rig 303'!$G:$G)</f>
        <v>0</v>
      </c>
      <c r="Z26" s="34">
        <f>SUMIF('Rig 303'!$B:$B,Lists!$A$5,'Rig 303'!$H:$H)</f>
        <v>0</v>
      </c>
      <c r="AA26" s="34">
        <f>SUMIF('Rig 303'!$B:$B,Lists!$A$5,'Rig 303'!$I:$I)</f>
        <v>0</v>
      </c>
      <c r="AB26" s="34">
        <f>SUMIF('Rig 303'!$B:$B,Lists!$A$6,'Rig 303'!$C:$C)</f>
        <v>0</v>
      </c>
      <c r="AC26" s="34">
        <f>SUMIF('Rig 303'!$B:$B,Lists!$A$6,'Rig 303'!$E:$E)</f>
        <v>0</v>
      </c>
      <c r="AD26" s="34">
        <f>SUMIF('Rig 303'!$B:$B,Lists!$A$6,'Rig 303'!$F:$F)</f>
        <v>0</v>
      </c>
      <c r="AE26" s="34">
        <f>SUMIF('Rig 303'!$B:$B,Lists!$A$6,'Rig 303'!$G:$G)</f>
        <v>0</v>
      </c>
      <c r="AF26" s="34">
        <f>SUMIF('Rig 303'!$B:$B,Lists!$A$6,'Rig 303'!$H:$H)</f>
        <v>0</v>
      </c>
      <c r="AG26" s="34">
        <f>SUMIF('Rig 303'!$B:$B,Lists!$A$6,'Rig 303'!$I:$I)</f>
        <v>0</v>
      </c>
      <c r="AH26" s="34">
        <f>SUMIF('Rig 303'!$B:$B,Lists!$A$7,'Rig 303'!$C:$C)</f>
        <v>0</v>
      </c>
      <c r="AI26" s="34">
        <f>SUMIF('Rig 303'!$B:$B,Lists!$A$7,'Rig 303'!$E:$E)</f>
        <v>0</v>
      </c>
      <c r="AJ26" s="34">
        <f>SUMIF('Rig 303'!$B:$B,Lists!$A$7,'Rig 303'!$F:$F)</f>
        <v>0</v>
      </c>
      <c r="AK26" s="34">
        <f>SUMIF('Rig 303'!$B:$B,Lists!$A$7,'Rig 303'!$G:$G)</f>
        <v>0</v>
      </c>
      <c r="AL26" s="34">
        <f>SUMIF('Rig 303'!$B:$B,Lists!$A$7,'Rig 303'!$H:$H)</f>
        <v>0</v>
      </c>
      <c r="AM26" s="34">
        <f>SUMIF('Rig 303'!$B:$B,Lists!$A$7,'Rig 303'!$I:$I)</f>
        <v>0</v>
      </c>
      <c r="AN26" s="34">
        <f>SUMIF('Rig 303'!$B:$B,Lists!$A$8,'Rig 303'!$C:$C)</f>
        <v>0</v>
      </c>
      <c r="AO26" s="34">
        <f>SUMIF('Rig 303'!$B:$B,Lists!$A$8,'Rig 303'!$E:$E)</f>
        <v>0</v>
      </c>
      <c r="AP26" s="34">
        <f>SUMIF('Rig 303'!$B:$B,Lists!$A$8,'Rig 303'!$F:$F)</f>
        <v>0</v>
      </c>
      <c r="AQ26" s="34">
        <f>SUMIF('Rig 303'!$B:$B,Lists!$A$8,'Rig 303'!$G:$G)</f>
        <v>0</v>
      </c>
      <c r="AR26" s="34">
        <f>SUMIF('Rig 303'!$B:$B,Lists!$A$8,'Rig 303'!$H:$H)</f>
        <v>0</v>
      </c>
      <c r="AS26" s="34">
        <f>SUMIF('Rig 303'!$B:$B,Lists!$A$8,'Rig 303'!$I:$I)</f>
        <v>0</v>
      </c>
      <c r="AT26" s="34">
        <f>SUMIF('Rig 303'!$B:$B,Lists!$A$9,'Rig 303'!$C:$C)</f>
        <v>0</v>
      </c>
      <c r="AU26" s="34">
        <f>SUMIF('Rig 303'!$B:$B,Lists!$A$9,'Rig 303'!$E:$E)</f>
        <v>0</v>
      </c>
      <c r="AV26" s="34">
        <f>SUMIF('Rig 303'!$B:$B,Lists!$A$9,'Rig 303'!$F:$F)</f>
        <v>0</v>
      </c>
      <c r="AW26" s="34">
        <f>SUMIF('Rig 303'!$B:$B,Lists!$A$9,'Rig 303'!$G:$G)</f>
        <v>0</v>
      </c>
      <c r="AX26" s="34">
        <f>SUMIF('Rig 303'!$B:$B,Lists!$A$9,'Rig 303'!$H:$H)</f>
        <v>0</v>
      </c>
      <c r="AY26" s="34">
        <f>SUMIF('Rig 303'!$B:$B,Lists!$A$9,'Rig 303'!$I:$I)</f>
        <v>0</v>
      </c>
      <c r="AZ26" s="34">
        <f>SUMIF('Rig 303'!$B:$B,Lists!$A$10,'Rig 303'!$C:$C)</f>
        <v>0</v>
      </c>
      <c r="BA26" s="34">
        <f>SUMIF('Rig 303'!$B:$B,Lists!$A$10,'Rig 303'!$E:$E)</f>
        <v>388</v>
      </c>
      <c r="BB26" s="34">
        <f>SUMIF('Rig 303'!$B:$B,Lists!$A$10,'Rig 303'!$F:$F)</f>
        <v>0</v>
      </c>
      <c r="BC26" s="34">
        <f>SUMIF('Rig 303'!$B:$B,Lists!$A$10,'Rig 303'!$G:$G)</f>
        <v>0</v>
      </c>
      <c r="BD26" s="34">
        <f>SUMIF('Rig 303'!$B:$B,Lists!$A$10,'Rig 303'!$H:$H)</f>
        <v>0</v>
      </c>
      <c r="BE26" s="34">
        <f>SUMIF('Rig 303'!$B:$B,Lists!$A$10,'Rig 303'!$I:$I)</f>
        <v>0</v>
      </c>
      <c r="BF26" s="34">
        <f>SUMIF('Rig 303'!$B:$B,Lists!$A$11,'Rig 303'!$C:$C)</f>
        <v>138</v>
      </c>
      <c r="BG26" s="34">
        <f>SUMIF('Rig 303'!$B:$B,Lists!$A$11,'Rig 303'!$E:$E)</f>
        <v>62</v>
      </c>
      <c r="BH26" s="34">
        <f>SUMIF('Rig 303'!$B:$B,Lists!$A$11,'Rig 303'!$F:$F)</f>
        <v>0</v>
      </c>
      <c r="BI26" s="34">
        <f>SUMIF('Rig 303'!$B:$B,Lists!$A$11,'Rig 303'!$G:$G)</f>
        <v>0</v>
      </c>
      <c r="BJ26" s="34">
        <f>SUMIF('Rig 303'!$B:$B,Lists!$A$11,'Rig 303'!$H:$H)</f>
        <v>0</v>
      </c>
      <c r="BK26" s="34">
        <f>SUMIF('Rig 303'!$B:$B,Lists!$A$11,'Rig 303'!$I:$I)</f>
        <v>0</v>
      </c>
      <c r="BL26" s="34">
        <f>SUMIF('Rig 303'!$B:$B,Lists!$A$12,'Rig 303'!$C:$C)</f>
        <v>125</v>
      </c>
      <c r="BM26" s="34">
        <f>SUMIF('Rig 303'!$B:$B,Lists!$A$12,'Rig 303'!$E:$E)</f>
        <v>104</v>
      </c>
      <c r="BN26" s="34">
        <f>SUMIF('Rig 303'!$B:$B,Lists!$A$12,'Rig 303'!$F:$F)</f>
        <v>0</v>
      </c>
      <c r="BO26" s="34">
        <f>SUMIF('Rig 303'!$B:$B,Lists!$A$12,'Rig 303'!$G:$G)</f>
        <v>0</v>
      </c>
      <c r="BP26" s="34">
        <f>SUMIF('Rig 303'!$B:$B,Lists!$A$12,'Rig 303'!$H:$H)</f>
        <v>0</v>
      </c>
      <c r="BQ26" s="34">
        <f>SUMIF('Rig 303'!$B:$B,Lists!$A$12,'Rig 303'!$I:$I)</f>
        <v>0</v>
      </c>
      <c r="BR26" s="34">
        <f>SUMIF('Rig 303'!$B:$B,Lists!$A$13,'Rig 303'!$C:$C)</f>
        <v>0</v>
      </c>
      <c r="BS26" s="34">
        <f>SUMIF('Rig 303'!$B:$B,Lists!$A$13,'Rig 303'!$E:$E)</f>
        <v>0</v>
      </c>
      <c r="BT26" s="34">
        <f>SUMIF('Rig 303'!$B:$B,Lists!$A$13,'Rig 303'!$F:$F)</f>
        <v>0</v>
      </c>
      <c r="BU26" s="34">
        <f>SUMIF('Rig 303'!$B:$B,Lists!$A$13,'Rig 303'!$G:$G)</f>
        <v>0</v>
      </c>
      <c r="BV26" s="34">
        <f>SUMIF('Rig 303'!$B:$B,Lists!$A$13,'Rig 303'!$H:$H)</f>
        <v>0</v>
      </c>
      <c r="BW26" s="34">
        <f>SUMIF('Rig 303'!$B:$B,Lists!$A$13,'Rig 303'!$I:$I)</f>
        <v>0</v>
      </c>
      <c r="BX26" s="34">
        <f>SUMIF('Rig 303'!$B:$B,Lists!$A$14,'Rig 303'!$C:$C)</f>
        <v>0</v>
      </c>
      <c r="BY26" s="34">
        <f>SUMIF('Rig 303'!$B:$B,Lists!$A$14,'Rig 303'!$E:$E)</f>
        <v>0</v>
      </c>
      <c r="BZ26" s="34">
        <f>SUMIF('Rig 303'!$B:$B,Lists!$A$14,'Rig 303'!$F:$F)</f>
        <v>0</v>
      </c>
      <c r="CA26" s="34">
        <f>SUMIF('Rig 303'!$B:$B,Lists!$A$14,'Rig 303'!$G:$G)</f>
        <v>0</v>
      </c>
      <c r="CB26" s="34">
        <f>SUMIF('Rig 303'!$B:$B,Lists!$A$14,'Rig 303'!$H:$H)</f>
        <v>0</v>
      </c>
      <c r="CC26" s="34">
        <f>SUMIF('Rig 303'!$B:$B,Lists!$A$14,'Rig 303'!$I:$I)</f>
        <v>0</v>
      </c>
      <c r="CD26" s="34">
        <f>SUMIF('Rig 303'!$B:$B,Lists!$A$15,'Rig 303'!$C:$C)</f>
        <v>0</v>
      </c>
      <c r="CE26" s="34">
        <f>SUMIF('Rig 303'!$B:$B,Lists!$A$15,'Rig 303'!$E:$E)</f>
        <v>0</v>
      </c>
      <c r="CF26" s="34">
        <f>SUMIF('Rig 303'!$B:$B,Lists!$A$15,'Rig 303'!$F:$F)</f>
        <v>0</v>
      </c>
      <c r="CG26" s="34">
        <f>SUMIF('Rig 303'!$B:$B,Lists!$A$15,'Rig 303'!$G:$G)</f>
        <v>0</v>
      </c>
      <c r="CH26" s="34">
        <f>SUMIF('Rig 303'!$B:$B,Lists!$A$15,'Rig 303'!$H:$H)</f>
        <v>0</v>
      </c>
      <c r="CI26" s="34">
        <f>SUMIF('Rig 303'!$B:$B,Lists!$A$15,'Rig 303'!$I:$I)</f>
        <v>0</v>
      </c>
      <c r="CJ26" s="34">
        <f>SUMIF('Rig 303'!$B:$B,Lists!$A$16,'Rig 303'!$C:$C)</f>
        <v>0</v>
      </c>
      <c r="CK26" s="34">
        <f>SUMIF('Rig 303'!$B:$B,Lists!$A$16,'Rig 303'!$E:$E)</f>
        <v>8</v>
      </c>
      <c r="CL26" s="34">
        <f>SUMIF('Rig 303'!$B:$B,Lists!$A$16,'Rig 303'!$F:$F)</f>
        <v>0</v>
      </c>
      <c r="CM26" s="34">
        <f>SUMIF('Rig 303'!$B:$B,Lists!$A$16,'Rig 303'!$G:$G)</f>
        <v>0</v>
      </c>
      <c r="CN26" s="34">
        <f>SUMIF('Rig 303'!$B:$B,Lists!$A$16,'Rig 303'!$H:$H)</f>
        <v>0</v>
      </c>
      <c r="CO26" s="34">
        <f>SUMIF('Rig 303'!$B:$B,Lists!$A$16,'Rig 303'!$I:$I)</f>
        <v>0</v>
      </c>
      <c r="CP26" s="34">
        <f>SUMIF('Rig 303'!$B:$B,Lists!$A$17,'Rig 303'!$C:$C)</f>
        <v>0</v>
      </c>
      <c r="CQ26" s="34">
        <f>SUMIF('Rig 303'!$B:$B,Lists!$A$17,'Rig 303'!$E:$E)</f>
        <v>0</v>
      </c>
      <c r="CR26" s="34">
        <f>SUMIF('Rig 303'!$B:$B,Lists!$A$17,'Rig 303'!$F:$F)</f>
        <v>0</v>
      </c>
      <c r="CS26" s="34">
        <f>SUMIF('Rig 303'!$B:$B,Lists!$A$17,'Rig 303'!$G:$G)</f>
        <v>0</v>
      </c>
      <c r="CT26" s="34">
        <f>SUMIF('Rig 303'!$B:$B,Lists!$A$17,'Rig 303'!$H:$H)</f>
        <v>0</v>
      </c>
      <c r="CU26" s="34">
        <f>SUMIF('Rig 303'!$B:$B,Lists!$A$17,'Rig 303'!$I:$I)</f>
        <v>0</v>
      </c>
      <c r="CV26" s="34">
        <f>SUMIF('Rig 303'!$B:$B,Lists!$A$18,'Rig 303'!$C:$C)</f>
        <v>0</v>
      </c>
      <c r="CW26" s="34">
        <f>SUMIF('Rig 303'!$B:$B,Lists!$A$18,'Rig 303'!$E:$E)</f>
        <v>0</v>
      </c>
      <c r="CX26" s="34">
        <f>SUMIF('Rig 303'!$B:$B,Lists!$A$18,'Rig 303'!$F:$F)</f>
        <v>0</v>
      </c>
      <c r="CY26" s="34">
        <f>SUMIF('Rig 303'!$B:$B,Lists!$A$18,'Rig 303'!$G:$G)</f>
        <v>0</v>
      </c>
      <c r="CZ26" s="34">
        <f>SUMIF('Rig 303'!$B:$B,Lists!$A$18,'Rig 303'!$H:$H)</f>
        <v>0</v>
      </c>
      <c r="DA26" s="34">
        <f>SUMIF('Rig 303'!$B:$B,Lists!$A$18,'Rig 303'!$I:$I)</f>
        <v>0</v>
      </c>
      <c r="DB26" s="34">
        <f>SUMIF('Rig 303'!$B:$B,Lists!$A$19,'Rig 303'!$C:$C)</f>
        <v>0</v>
      </c>
      <c r="DC26" s="34">
        <f>SUMIF('Rig 303'!$B:$B,Lists!$A$19,'Rig 303'!$E:$E)</f>
        <v>3</v>
      </c>
      <c r="DD26" s="34">
        <f>SUMIF('Rig 303'!$B:$B,Lists!$A$19,'Rig 303'!$F:$F)</f>
        <v>0</v>
      </c>
      <c r="DE26" s="34">
        <f>SUMIF('Rig 303'!$B:$B,Lists!$A$19,'Rig 303'!$G:$G)</f>
        <v>0</v>
      </c>
      <c r="DF26" s="34">
        <f>SUMIF('Rig 303'!$B:$B,Lists!$A$19,'Rig 303'!$H:$H)</f>
        <v>0</v>
      </c>
      <c r="DG26" s="34">
        <f>SUMIF('Rig 303'!$B:$B,Lists!$A$19,'Rig 303'!$I:$I)</f>
        <v>0</v>
      </c>
      <c r="DH26" s="34">
        <f>SUMIF('Rig 303'!$B:$B,Lists!$A$20,'Rig 303'!$C:$C)</f>
        <v>16</v>
      </c>
      <c r="DI26" s="34">
        <f>SUMIF('Rig 303'!$B:$B,Lists!$A$20,'Rig 303'!$E:$E)</f>
        <v>0</v>
      </c>
      <c r="DJ26" s="34">
        <f>SUMIF('Rig 303'!$B:$B,Lists!$A$20,'Rig 303'!$F:$F)</f>
        <v>0</v>
      </c>
      <c r="DK26" s="34">
        <f>SUMIF('Rig 303'!$B:$B,Lists!$A$20,'Rig 303'!$G:$G)</f>
        <v>0</v>
      </c>
      <c r="DL26" s="34">
        <f>SUMIF('Rig 303'!$B:$B,Lists!$A$20,'Rig 303'!$H:$H)</f>
        <v>0</v>
      </c>
      <c r="DM26" s="34">
        <f>SUMIF('Rig 303'!$B:$B,Lists!$A$20,'Rig 303'!$I:$I)</f>
        <v>0</v>
      </c>
      <c r="DN26" s="34">
        <f>SUMIF('Rig 303'!$B:$B,Lists!$A$21,'Rig 303'!$C:$C)</f>
        <v>0</v>
      </c>
      <c r="DO26" s="34">
        <f>SUMIF('Rig 303'!$B:$B,Lists!$A$21,'Rig 303'!$E:$E)</f>
        <v>0</v>
      </c>
      <c r="DP26" s="34">
        <f>SUMIF('Rig 303'!$B:$B,Lists!$A$21,'Rig 303'!$F:$F)</f>
        <v>0</v>
      </c>
      <c r="DQ26" s="34">
        <f>SUMIF('Rig 303'!$B:$B,Lists!$A$21,'Rig 303'!$G:$G)</f>
        <v>0</v>
      </c>
      <c r="DR26" s="34">
        <f>SUMIF('Rig 303'!$B:$B,Lists!$A$21,'Rig 303'!$H:$H)</f>
        <v>0</v>
      </c>
      <c r="DS26" s="34">
        <f>SUMIF('Rig 303'!$B:$B,Lists!$A$21,'Rig 303'!$I:$I)</f>
        <v>0</v>
      </c>
      <c r="DT26" s="34">
        <f>SUMIF('Rig 303'!$B:$B,Lists!$A$22,'Rig 303'!$C:$C)</f>
        <v>0</v>
      </c>
      <c r="DU26" s="34">
        <f>SUMIF('Rig 303'!$B:$B,Lists!$A$22,'Rig 303'!$E:$E)</f>
        <v>0</v>
      </c>
      <c r="DV26" s="34">
        <f>SUMIF('Rig 303'!$B:$B,Lists!$A$22,'Rig 303'!$F:$F)</f>
        <v>0</v>
      </c>
      <c r="DW26" s="34">
        <f>SUMIF('Rig 303'!$B:$B,Lists!$A$22,'Rig 303'!$G:$G)</f>
        <v>0</v>
      </c>
      <c r="DX26" s="34">
        <f>SUMIF('Rig 303'!$B:$B,Lists!$A$22,'Rig 303'!$H:$H)</f>
        <v>0</v>
      </c>
      <c r="DY26" s="34">
        <f>SUMIF('Rig 303'!$B:$B,Lists!$A$22,'Rig 303'!$I:$I)</f>
        <v>0</v>
      </c>
      <c r="DZ26" s="34">
        <f>SUMIF('Rig 303'!$B:$B,Lists!$A$23,'Rig 303'!$C:$C)</f>
        <v>0</v>
      </c>
      <c r="EA26" s="34">
        <f>SUMIF('Rig 303'!$B:$B,Lists!$A$23,'Rig 303'!$E:$E)</f>
        <v>14</v>
      </c>
      <c r="EB26" s="34">
        <f>SUMIF('Rig 303'!$B:$B,Lists!$A$23,'Rig 303'!$F:$F)</f>
        <v>0</v>
      </c>
      <c r="EC26" s="34">
        <f>SUMIF('Rig 303'!$B:$B,Lists!$A$23,'Rig 303'!$G:$G)</f>
        <v>0</v>
      </c>
      <c r="ED26" s="34">
        <f>SUMIF('Rig 303'!$B:$B,Lists!$A$23,'Rig 303'!$H:$H)</f>
        <v>0</v>
      </c>
      <c r="EE26" s="34">
        <f>SUMIF('Rig 303'!$B:$B,Lists!$A$23,'Rig 303'!$I:$I)</f>
        <v>0</v>
      </c>
      <c r="EF26" s="34">
        <f>SUMIF('Rig 303'!$B:$B,Lists!$A$24,'Rig 303'!$C:$C)</f>
        <v>0</v>
      </c>
      <c r="EG26" s="34">
        <f>SUMIF('Rig 303'!$B:$B,Lists!$A$24,'Rig 303'!$E:$E)</f>
        <v>26</v>
      </c>
      <c r="EH26" s="34">
        <f>SUMIF('Rig 303'!$B:$B,Lists!$A$24,'Rig 303'!$F:$F)</f>
        <v>0</v>
      </c>
      <c r="EI26" s="34">
        <f>SUMIF('Rig 303'!$B:$B,Lists!$A$24,'Rig 303'!$G:$G)</f>
        <v>0</v>
      </c>
      <c r="EJ26" s="34">
        <f>SUMIF('Rig 303'!$B:$B,Lists!$A$24,'Rig 303'!$H:$H)</f>
        <v>0</v>
      </c>
      <c r="EK26" s="34">
        <f>SUMIF('Rig 303'!$B:$B,Lists!$A$24,'Rig 303'!$I:$I)</f>
        <v>0</v>
      </c>
      <c r="EL26" s="34">
        <f>SUMIF('Rig 303'!$B:$B,Lists!$A$25,'Rig 303'!$C:$C)</f>
        <v>0</v>
      </c>
      <c r="EM26" s="34">
        <f>SUMIF('Rig 303'!$B:$B,Lists!$A$25,'Rig 303'!$E:$E)</f>
        <v>0</v>
      </c>
      <c r="EN26" s="34">
        <f>SUMIF('Rig 303'!$B:$B,Lists!$A$25,'Rig 303'!$F:$F)</f>
        <v>0</v>
      </c>
      <c r="EO26" s="34">
        <f>SUMIF('Rig 303'!$B:$B,Lists!$A$25,'Rig 303'!$G:$G)</f>
        <v>0</v>
      </c>
      <c r="EP26" s="34">
        <f>SUMIF('Rig 303'!$B:$B,Lists!$A$25,'Rig 303'!$H:$H)</f>
        <v>0</v>
      </c>
      <c r="EQ26" s="34">
        <f>SUMIF('Rig 303'!$B:$B,Lists!$A$25,'Rig 303'!$I:$I)</f>
        <v>0</v>
      </c>
      <c r="ER26" s="34">
        <f>SUMIF('Rig 303'!$B:$B,Lists!$A$26,'Rig 303'!$C:$C)</f>
        <v>0</v>
      </c>
      <c r="ES26" s="34">
        <f>SUMIF('Rig 303'!$B:$B,Lists!$A$26,'Rig 303'!$E:$E)</f>
        <v>0</v>
      </c>
      <c r="ET26" s="34">
        <f>SUMIF('Rig 303'!$B:$B,Lists!$A$26,'Rig 303'!$F:$F)</f>
        <v>0</v>
      </c>
      <c r="EU26" s="34">
        <f>SUMIF('Rig 303'!$B:$B,Lists!$A$26,'Rig 303'!$G:$G)</f>
        <v>0</v>
      </c>
      <c r="EV26" s="34">
        <f>SUMIF('Rig 303'!$B:$B,Lists!$A$26,'Rig 303'!$H:$H)</f>
        <v>0</v>
      </c>
      <c r="EW26" s="34">
        <f>SUMIF('Rig 303'!$B:$B,Lists!$A$26,'Rig 303'!$I:$I)</f>
        <v>0</v>
      </c>
      <c r="EX26" s="34">
        <f>SUMIF('Rig 303'!$B:$B,Lists!$A$27,'Rig 303'!$C:$C)</f>
        <v>0</v>
      </c>
      <c r="EY26" s="34">
        <f>SUMIF('Rig 303'!$B:$B,Lists!$A$27,'Rig 303'!$E:$E)</f>
        <v>0</v>
      </c>
      <c r="EZ26" s="34">
        <f>SUMIF('Rig 303'!$B:$B,Lists!$A$27,'Rig 303'!$F:$F)</f>
        <v>0</v>
      </c>
      <c r="FA26" s="34">
        <f>SUMIF('Rig 303'!$B:$B,Lists!$A$27,'Rig 303'!$G:$G)</f>
        <v>0</v>
      </c>
      <c r="FB26" s="34">
        <f>SUMIF('Rig 303'!$B:$B,Lists!$A$27,'Rig 303'!$H:$H)</f>
        <v>0</v>
      </c>
      <c r="FC26" s="34">
        <f>SUMIF('Rig 303'!$B:$B,Lists!$A$27,'Rig 303'!$I:$I)</f>
        <v>0</v>
      </c>
      <c r="FD26" s="34">
        <f>SUMIF('Rig 303'!$B:$B,Lists!$A$28,'Rig 303'!$C:$C)</f>
        <v>0</v>
      </c>
      <c r="FE26" s="34">
        <f>SUMIF('Rig 303'!$B:$B,Lists!$A$28,'Rig 303'!$E:$E)</f>
        <v>39</v>
      </c>
      <c r="FF26" s="34">
        <f>SUMIF('Rig 303'!$B:$B,Lists!$A$28,'Rig 303'!$F:$F)</f>
        <v>1</v>
      </c>
      <c r="FG26" s="34">
        <f>SUMIF('Rig 303'!$B:$B,Lists!$A$28,'Rig 303'!$G:$G)</f>
        <v>0</v>
      </c>
      <c r="FH26" s="34">
        <f>SUMIF('Rig 303'!$B:$B,Lists!$A$28,'Rig 303'!$H:$H)</f>
        <v>0</v>
      </c>
      <c r="FI26" s="34">
        <f>SUMIF('Rig 303'!$B:$B,Lists!$A$28,'Rig 303'!$I:$I)</f>
        <v>0</v>
      </c>
      <c r="FJ26" s="34">
        <f>SUMIF('Rig 303'!$B:$B,Lists!$A$29,'Rig 303'!$C:$C)</f>
        <v>0</v>
      </c>
      <c r="FK26" s="34">
        <f>SUMIF('Rig 303'!$B:$B,Lists!$A$29,'Rig 303'!$E:$E)</f>
        <v>0</v>
      </c>
      <c r="FL26" s="34">
        <f>SUMIF('Rig 303'!$B:$B,Lists!$A$29,'Rig 303'!$F:$F)</f>
        <v>0</v>
      </c>
      <c r="FM26" s="34">
        <f>SUMIF('Rig 303'!$B:$B,Lists!$A$29,'Rig 303'!$G:$G)</f>
        <v>0</v>
      </c>
      <c r="FN26" s="34">
        <f>SUMIF('Rig 303'!$B:$B,Lists!$A$29,'Rig 303'!$H:$H)</f>
        <v>0</v>
      </c>
      <c r="FO26" s="34">
        <f>SUMIF('Rig 303'!$B:$B,Lists!$A$29,'Rig 303'!$I:$I)</f>
        <v>0</v>
      </c>
      <c r="FP26" s="34">
        <f>SUMIF('Rig 303'!$B:$B,Lists!$A$30,'Rig 303'!$C:$C)</f>
        <v>0</v>
      </c>
      <c r="FQ26" s="34">
        <f>SUMIF('Rig 303'!$B:$B,Lists!$A$30,'Rig 303'!$E:$E)</f>
        <v>0</v>
      </c>
      <c r="FR26" s="34">
        <f>SUMIF('Rig 303'!$B:$B,Lists!$A$30,'Rig 303'!$F:$F)</f>
        <v>0</v>
      </c>
      <c r="FS26" s="34">
        <f>SUMIF('Rig 303'!$B:$B,Lists!$A$30,'Rig 303'!$G:$G)</f>
        <v>0</v>
      </c>
      <c r="FT26" s="34">
        <f>SUMIF('Rig 303'!$B:$B,Lists!$A$30,'Rig 303'!$H:$H)</f>
        <v>0</v>
      </c>
      <c r="FU26" s="34">
        <f>SUMIF('Rig 303'!$B:$B,Lists!$A$30,'Rig 303'!$I:$I)</f>
        <v>0</v>
      </c>
      <c r="FV26" s="34">
        <f>SUMIF('Rig 303'!$B:$B,Lists!$A$31,'Rig 303'!$C:$C)</f>
        <v>0</v>
      </c>
      <c r="FW26" s="34">
        <f>SUMIF('Rig 303'!$B:$B,Lists!$A$31,'Rig 303'!$E:$E)</f>
        <v>0</v>
      </c>
      <c r="FX26" s="34">
        <f>SUMIF('Rig 303'!$B:$B,Lists!$A$31,'Rig 303'!$F:$F)</f>
        <v>0</v>
      </c>
      <c r="FY26" s="34">
        <f>SUMIF('Rig 303'!$B:$B,Lists!$A$31,'Rig 303'!$G:$G)</f>
        <v>0</v>
      </c>
      <c r="FZ26" s="34">
        <f>SUMIF('Rig 303'!$B:$B,Lists!$A$31,'Rig 303'!$H:$H)</f>
        <v>0</v>
      </c>
      <c r="GA26" s="34">
        <f>SUMIF('Rig 303'!$B:$B,Lists!$A$31,'Rig 303'!$I:$I)</f>
        <v>0</v>
      </c>
      <c r="GB26" s="34">
        <f>SUMIF('Rig 303'!$B:$B,Lists!$A$32,'Rig 303'!$C:$C)</f>
        <v>0</v>
      </c>
      <c r="GC26" s="34">
        <f>SUMIF('Rig 303'!$B:$B,Lists!$A$32,'Rig 303'!$E:$E)</f>
        <v>1</v>
      </c>
      <c r="GD26" s="34">
        <f>SUMIF('Rig 303'!$B:$B,Lists!$A$32,'Rig 303'!$F:$F)</f>
        <v>0</v>
      </c>
      <c r="GE26" s="34">
        <f>SUMIF('Rig 303'!$B:$B,Lists!$A$32,'Rig 303'!$G:$G)</f>
        <v>0</v>
      </c>
      <c r="GF26" s="34">
        <f>SUMIF('Rig 303'!$B:$B,Lists!$A$32,'Rig 303'!$H:$H)</f>
        <v>0</v>
      </c>
      <c r="GG26" s="34">
        <f>SUMIF('Rig 303'!$B:$B,Lists!$A$32,'Rig 303'!$I:$I)</f>
        <v>0</v>
      </c>
      <c r="GH26" s="34">
        <f>SUMIF('Rig 303'!$B:$B,Lists!$A$33,'Rig 303'!$C:$C)</f>
        <v>0</v>
      </c>
      <c r="GI26" s="34">
        <f>SUMIF('Rig 303'!$B:$B,Lists!$A$33,'Rig 303'!$E:$E)</f>
        <v>0</v>
      </c>
      <c r="GJ26" s="34">
        <f>SUMIF('Rig 303'!$B:$B,Lists!$A$33,'Rig 303'!$F:$F)</f>
        <v>0</v>
      </c>
      <c r="GK26" s="34">
        <f>SUMIF('Rig 303'!$B:$B,Lists!$A$33,'Rig 303'!$G:$G)</f>
        <v>0</v>
      </c>
      <c r="GL26" s="34">
        <f>SUMIF('Rig 303'!$B:$B,Lists!$A$33,'Rig 303'!$H:$H)</f>
        <v>0</v>
      </c>
      <c r="GM26" s="34">
        <f>SUMIF('Rig 303'!$B:$B,Lists!$A$33,'Rig 303'!$I:$I)</f>
        <v>0</v>
      </c>
      <c r="GN26" s="34">
        <f>SUMIF('Rig 303'!$B:$B,Lists!$A$34,'Rig 303'!$C:$C)</f>
        <v>0</v>
      </c>
      <c r="GO26" s="34">
        <f>SUMIF('Rig 303'!$B:$B,Lists!$A$34,'Rig 303'!$E:$E)</f>
        <v>0</v>
      </c>
      <c r="GP26" s="34">
        <f>SUMIF('Rig 303'!$B:$B,Lists!$A$34,'Rig 303'!$F:$F)</f>
        <v>0</v>
      </c>
      <c r="GQ26" s="34">
        <f>SUMIF('Rig 303'!$B:$B,Lists!$A$34,'Rig 303'!$G:$G)</f>
        <v>0</v>
      </c>
      <c r="GR26" s="34">
        <f>SUMIF('Rig 303'!$B:$B,Lists!$A$34,'Rig 303'!$H:$H)</f>
        <v>0</v>
      </c>
      <c r="GS26" s="34">
        <f>SUMIF('Rig 303'!$B:$B,Lists!$A$34,'Rig 303'!$I:$I)</f>
        <v>0</v>
      </c>
      <c r="GT26" s="34">
        <f>SUMIF('Rig 303'!$B:$B,Lists!$A$35,'Rig 303'!$C:$C)</f>
        <v>0</v>
      </c>
      <c r="GU26" s="34">
        <f>SUMIF('Rig 303'!$B:$B,Lists!$A$35,'Rig 303'!$E:$E)</f>
        <v>0</v>
      </c>
      <c r="GV26" s="34">
        <f>SUMIF('Rig 303'!$B:$B,Lists!$A$35,'Rig 303'!$F:$F)</f>
        <v>0</v>
      </c>
      <c r="GW26" s="34">
        <f>SUMIF('Rig 303'!$B:$B,Lists!$A$35,'Rig 303'!$G:$G)</f>
        <v>0</v>
      </c>
      <c r="GX26" s="34">
        <f>SUMIF('Rig 303'!$B:$B,Lists!$A$35,'Rig 303'!$H:$H)</f>
        <v>0</v>
      </c>
      <c r="GY26" s="34">
        <f>SUMIF('Rig 303'!$B:$B,Lists!$A$35,'Rig 303'!$I:$I)</f>
        <v>0</v>
      </c>
      <c r="GZ26" s="34">
        <f>SUMIF('Rig 303'!$B:$B,Lists!$A$36,'Rig 303'!$C:$C)</f>
        <v>0</v>
      </c>
      <c r="HA26" s="34">
        <f>SUMIF('Rig 303'!$B:$B,Lists!$A$36,'Rig 303'!$E:$E)</f>
        <v>0</v>
      </c>
      <c r="HB26" s="34">
        <f>SUMIF('Rig 303'!$B:$B,Lists!$A$36,'Rig 303'!$F:$F)</f>
        <v>0</v>
      </c>
      <c r="HC26" s="34">
        <f>SUMIF('Rig 303'!$B:$B,Lists!$A$36,'Rig 303'!$G:$G)</f>
        <v>0</v>
      </c>
      <c r="HD26" s="34">
        <f>SUMIF('Rig 303'!$B:$B,Lists!$A$36,'Rig 303'!$H:$H)</f>
        <v>0</v>
      </c>
      <c r="HE26" s="34">
        <f>SUMIF('Rig 303'!$B:$B,Lists!$A$36,'Rig 303'!$I:$I)</f>
        <v>0</v>
      </c>
      <c r="HF26" s="34">
        <f>SUMIF('Rig 303'!$B:$B,Lists!$A$37,'Rig 303'!$C:$C)</f>
        <v>0</v>
      </c>
      <c r="HG26" s="34">
        <f>SUMIF('Rig 303'!$B:$B,Lists!$A$37,'Rig 303'!$E:$E)</f>
        <v>0</v>
      </c>
      <c r="HH26" s="34">
        <f>SUMIF('Rig 303'!$B:$B,Lists!$A$37,'Rig 303'!$F:$F)</f>
        <v>0</v>
      </c>
      <c r="HI26" s="34">
        <f>SUMIF('Rig 303'!$B:$B,Lists!$A$37,'Rig 303'!$G:$G)</f>
        <v>0</v>
      </c>
      <c r="HJ26" s="34">
        <f>SUMIF('Rig 303'!$B:$B,Lists!$A$37,'Rig 303'!$H:$H)</f>
        <v>0</v>
      </c>
      <c r="HK26" s="34">
        <f>SUMIF('Rig 303'!$B:$B,Lists!$A$37,'Rig 303'!$I:$I)</f>
        <v>0</v>
      </c>
      <c r="HL26" s="34">
        <f>SUMIF('Rig 303'!$B:$B,Lists!$A$38,'Rig 303'!$C:$C)</f>
        <v>0</v>
      </c>
      <c r="HM26" s="34">
        <f>SUMIF('Rig 303'!$B:$B,Lists!$A$38,'Rig 303'!$E:$E)</f>
        <v>3</v>
      </c>
      <c r="HN26" s="34">
        <f>SUMIF('Rig 303'!$B:$B,Lists!$A$38,'Rig 303'!$F:$F)</f>
        <v>0</v>
      </c>
      <c r="HO26" s="34">
        <f>SUMIF('Rig 303'!$B:$B,Lists!$A$38,'Rig 303'!$G:$G)</f>
        <v>0</v>
      </c>
      <c r="HP26" s="34">
        <f>SUMIF('Rig 303'!$B:$B,Lists!$A$38,'Rig 303'!$H:$H)</f>
        <v>0</v>
      </c>
      <c r="HQ26" s="34">
        <f>SUMIF('Rig 303'!$B:$B,Lists!$A$38,'Rig 303'!$I:$I)</f>
        <v>0</v>
      </c>
      <c r="HR26" s="34">
        <f>SUMIF('Rig 303'!$B:$B,Lists!$A$39,'Rig 303'!$C:$C)</f>
        <v>0</v>
      </c>
      <c r="HS26" s="34">
        <f>SUMIF('Rig 303'!$B:$B,Lists!$A$39,'Rig 303'!$E:$E)</f>
        <v>0</v>
      </c>
      <c r="HT26" s="34">
        <f>SUMIF('Rig 303'!$B:$B,Lists!$A$39,'Rig 303'!$F:$F)</f>
        <v>0</v>
      </c>
      <c r="HU26" s="34">
        <f>SUMIF('Rig 303'!$B:$B,Lists!$A$39,'Rig 303'!$G:$G)</f>
        <v>0</v>
      </c>
      <c r="HV26" s="34">
        <f>SUMIF('Rig 303'!$B:$B,Lists!$A$39,'Rig 303'!$H:$H)</f>
        <v>0</v>
      </c>
      <c r="HW26" s="34">
        <f>SUMIF('Rig 303'!$B:$B,Lists!$A$39,'Rig 303'!$I:$I)</f>
        <v>0</v>
      </c>
      <c r="HX26" s="34">
        <f>SUMIF('Rig 303'!$B:$B,Lists!$A$40,'Rig 303'!$C:$C)</f>
        <v>0</v>
      </c>
      <c r="HY26" s="34">
        <f>SUMIF('Rig 303'!$B:$B,Lists!$A$40,'Rig 303'!$E:$E)</f>
        <v>0</v>
      </c>
      <c r="HZ26" s="34">
        <f>SUMIF('Rig 303'!$B:$B,Lists!$A$40,'Rig 303'!$F:$F)</f>
        <v>0</v>
      </c>
      <c r="IA26" s="34">
        <f>SUMIF('Rig 303'!$B:$B,Lists!$A$40,'Rig 303'!$G:$G)</f>
        <v>0</v>
      </c>
      <c r="IB26" s="34">
        <f>SUMIF('Rig 303'!$B:$B,Lists!$A$40,'Rig 303'!$H:$H)</f>
        <v>0</v>
      </c>
      <c r="IC26" s="34">
        <f>SUMIF('Rig 303'!$B:$B,Lists!$A$40,'Rig 303'!$I:$I)</f>
        <v>0</v>
      </c>
      <c r="ID26" s="34">
        <f>SUMIF('Rig 303'!$B:$B,Lists!$A$41,'Rig 303'!$C:$C)</f>
        <v>0</v>
      </c>
      <c r="IE26" s="34">
        <f>SUMIF('Rig 303'!$B:$B,Lists!$A$41,'Rig 303'!$E:$E)</f>
        <v>0</v>
      </c>
      <c r="IF26" s="34">
        <f>SUMIF('Rig 303'!$B:$B,Lists!$A$41,'Rig 303'!$F:$F)</f>
        <v>0</v>
      </c>
      <c r="IG26" s="34">
        <f>SUMIF('Rig 303'!$B:$B,Lists!$A$41,'Rig 303'!$G:$G)</f>
        <v>0</v>
      </c>
      <c r="IH26" s="34">
        <f>SUMIF('Rig 303'!$B:$B,Lists!$A$41,'Rig 303'!$H:$H)</f>
        <v>0</v>
      </c>
      <c r="II26" s="34">
        <f>SUMIF('Rig 303'!$B:$B,Lists!$A$41,'Rig 303'!$I:$I)</f>
        <v>0</v>
      </c>
    </row>
    <row r="27" spans="1:243" ht="19.5" customHeight="1" x14ac:dyDescent="0.3">
      <c r="A27" s="35" t="s">
        <v>98</v>
      </c>
      <c r="B27" s="36">
        <f>'Rig 304'!D2</f>
        <v>46173</v>
      </c>
      <c r="C27" s="37" t="s">
        <v>77</v>
      </c>
      <c r="D27" s="38">
        <f>SUMIF('Rig 304'!$B:$B,Lists!$A$2,'Rig 304'!$C:$C)</f>
        <v>0</v>
      </c>
      <c r="E27" s="38">
        <f>SUMIF('Rig 304'!$B:$B,Lists!$A$2,'Rig 304'!$E:$E)</f>
        <v>0</v>
      </c>
      <c r="F27" s="38">
        <f>SUMIF('Rig 304'!$B:$B,Lists!$A$2,'Rig 304'!$F:$F)</f>
        <v>0</v>
      </c>
      <c r="G27" s="38">
        <f>SUMIF('Rig 304'!$B:$B,Lists!$A$2,'Rig 304'!$G:$G)</f>
        <v>0</v>
      </c>
      <c r="H27" s="38">
        <f>SUMIF('Rig 304'!$B:$B,Lists!$A$2,'Rig 304'!$H:$H)</f>
        <v>0</v>
      </c>
      <c r="I27" s="38">
        <f>SUMIF('Rig 304'!$B:$B,Lists!$A$2,'Rig 304'!$I:$I)</f>
        <v>0</v>
      </c>
      <c r="J27" s="38">
        <f>SUMIF('Rig 304'!$B:$B,Lists!$A$3,'Rig 304'!$C:$C)</f>
        <v>0</v>
      </c>
      <c r="K27" s="38">
        <f>SUMIF('Rig 304'!$B:$B,Lists!$A$3,'Rig 304'!$E:$E)</f>
        <v>0</v>
      </c>
      <c r="L27" s="38">
        <f>SUMIF('Rig 304'!$B:$B,Lists!$A$3,'Rig 304'!$F:$F)</f>
        <v>0</v>
      </c>
      <c r="M27" s="38">
        <f>SUMIF('Rig 304'!$B:$B,Lists!$A$3,'Rig 304'!$G:$G)</f>
        <v>0</v>
      </c>
      <c r="N27" s="38">
        <f>SUMIF('Rig 304'!$B:$B,Lists!$A$3,'Rig 304'!$H:$H)</f>
        <v>0</v>
      </c>
      <c r="O27" s="38">
        <f>SUMIF('Rig 304'!$B:$B,Lists!$A$3,'Rig 304'!$I:$I)</f>
        <v>0</v>
      </c>
      <c r="P27" s="38">
        <f>SUMIF('Rig 304'!$B:$B,Lists!$A$4,'Rig 304'!$C:$C)</f>
        <v>0</v>
      </c>
      <c r="Q27" s="38">
        <f>SUMIF('Rig 304'!$B:$B,Lists!$A$4,'Rig 304'!$E:$E)</f>
        <v>0</v>
      </c>
      <c r="R27" s="38">
        <f>SUMIF('Rig 304'!$B:$B,Lists!$A$4,'Rig 304'!$F:$F)</f>
        <v>0</v>
      </c>
      <c r="S27" s="38">
        <f>SUMIF('Rig 304'!$B:$B,Lists!$A$4,'Rig 304'!$G:$G)</f>
        <v>0</v>
      </c>
      <c r="T27" s="38">
        <f>SUMIF('Rig 304'!$B:$B,Lists!$A$4,'Rig 304'!$H:$H)</f>
        <v>0</v>
      </c>
      <c r="U27" s="38">
        <f>SUMIF('Rig 304'!$B:$B,Lists!$A$4,'Rig 304'!$I:$I)</f>
        <v>0</v>
      </c>
      <c r="V27" s="38">
        <f>SUMIF('Rig 304'!$B:$B,Lists!$A$5,'Rig 304'!$C:$C)</f>
        <v>0</v>
      </c>
      <c r="W27" s="38">
        <f>SUMIF('Rig 304'!$B:$B,Lists!$A$5,'Rig 304'!$E:$E)</f>
        <v>0</v>
      </c>
      <c r="X27" s="38">
        <f>SUMIF('Rig 304'!$B:$B,Lists!$A$5,'Rig 304'!$F:$F)</f>
        <v>0</v>
      </c>
      <c r="Y27" s="38">
        <f>SUMIF('Rig 304'!$B:$B,Lists!$A$5,'Rig 304'!$G:$G)</f>
        <v>0</v>
      </c>
      <c r="Z27" s="38">
        <f>SUMIF('Rig 304'!$B:$B,Lists!$A$5,'Rig 304'!$H:$H)</f>
        <v>0</v>
      </c>
      <c r="AA27" s="38">
        <f>SUMIF('Rig 304'!$B:$B,Lists!$A$5,'Rig 304'!$I:$I)</f>
        <v>0</v>
      </c>
      <c r="AB27" s="38">
        <f>SUMIF('Rig 304'!$B:$B,Lists!$A$6,'Rig 304'!$C:$C)</f>
        <v>0</v>
      </c>
      <c r="AC27" s="38">
        <f>SUMIF('Rig 304'!$B:$B,Lists!$A$6,'Rig 304'!$E:$E)</f>
        <v>0</v>
      </c>
      <c r="AD27" s="38">
        <f>SUMIF('Rig 304'!$B:$B,Lists!$A$6,'Rig 304'!$F:$F)</f>
        <v>0</v>
      </c>
      <c r="AE27" s="38">
        <f>SUMIF('Rig 304'!$B:$B,Lists!$A$6,'Rig 304'!$G:$G)</f>
        <v>0</v>
      </c>
      <c r="AF27" s="38">
        <f>SUMIF('Rig 304'!$B:$B,Lists!$A$6,'Rig 304'!$H:$H)</f>
        <v>0</v>
      </c>
      <c r="AG27" s="38">
        <f>SUMIF('Rig 304'!$B:$B,Lists!$A$6,'Rig 304'!$I:$I)</f>
        <v>0</v>
      </c>
      <c r="AH27" s="38">
        <f>SUMIF('Rig 304'!$B:$B,Lists!$A$7,'Rig 304'!$C:$C)</f>
        <v>0</v>
      </c>
      <c r="AI27" s="38">
        <f>SUMIF('Rig 304'!$B:$B,Lists!$A$7,'Rig 304'!$E:$E)</f>
        <v>0</v>
      </c>
      <c r="AJ27" s="38">
        <f>SUMIF('Rig 304'!$B:$B,Lists!$A$7,'Rig 304'!$F:$F)</f>
        <v>0</v>
      </c>
      <c r="AK27" s="38">
        <f>SUMIF('Rig 304'!$B:$B,Lists!$A$7,'Rig 304'!$G:$G)</f>
        <v>0</v>
      </c>
      <c r="AL27" s="38">
        <f>SUMIF('Rig 304'!$B:$B,Lists!$A$7,'Rig 304'!$H:$H)</f>
        <v>0</v>
      </c>
      <c r="AM27" s="38">
        <f>SUMIF('Rig 304'!$B:$B,Lists!$A$7,'Rig 304'!$I:$I)</f>
        <v>0</v>
      </c>
      <c r="AN27" s="38">
        <f>SUMIF('Rig 304'!$B:$B,Lists!$A$8,'Rig 304'!$C:$C)</f>
        <v>0</v>
      </c>
      <c r="AO27" s="38">
        <f>SUMIF('Rig 304'!$B:$B,Lists!$A$8,'Rig 304'!$E:$E)</f>
        <v>0</v>
      </c>
      <c r="AP27" s="38">
        <f>SUMIF('Rig 304'!$B:$B,Lists!$A$8,'Rig 304'!$F:$F)</f>
        <v>0</v>
      </c>
      <c r="AQ27" s="38">
        <f>SUMIF('Rig 304'!$B:$B,Lists!$A$8,'Rig 304'!$G:$G)</f>
        <v>0</v>
      </c>
      <c r="AR27" s="38">
        <f>SUMIF('Rig 304'!$B:$B,Lists!$A$8,'Rig 304'!$H:$H)</f>
        <v>0</v>
      </c>
      <c r="AS27" s="38">
        <f>SUMIF('Rig 304'!$B:$B,Lists!$A$8,'Rig 304'!$I:$I)</f>
        <v>0</v>
      </c>
      <c r="AT27" s="38">
        <f>SUMIF('Rig 304'!$B:$B,Lists!$A$9,'Rig 304'!$C:$C)</f>
        <v>0</v>
      </c>
      <c r="AU27" s="38">
        <f>SUMIF('Rig 304'!$B:$B,Lists!$A$9,'Rig 304'!$E:$E)</f>
        <v>0</v>
      </c>
      <c r="AV27" s="38">
        <f>SUMIF('Rig 304'!$B:$B,Lists!$A$9,'Rig 304'!$F:$F)</f>
        <v>0</v>
      </c>
      <c r="AW27" s="38">
        <f>SUMIF('Rig 304'!$B:$B,Lists!$A$9,'Rig 304'!$G:$G)</f>
        <v>0</v>
      </c>
      <c r="AX27" s="38">
        <f>SUMIF('Rig 304'!$B:$B,Lists!$A$9,'Rig 304'!$H:$H)</f>
        <v>0</v>
      </c>
      <c r="AY27" s="38">
        <f>SUMIF('Rig 304'!$B:$B,Lists!$A$9,'Rig 304'!$I:$I)</f>
        <v>0</v>
      </c>
      <c r="AZ27" s="38">
        <f>SUMIF('Rig 304'!$B:$B,Lists!$A$10,'Rig 304'!$C:$C)</f>
        <v>0</v>
      </c>
      <c r="BA27" s="38">
        <f>SUMIF('Rig 304'!$B:$B,Lists!$A$10,'Rig 304'!$E:$E)</f>
        <v>480</v>
      </c>
      <c r="BB27" s="38">
        <f>SUMIF('Rig 304'!$B:$B,Lists!$A$10,'Rig 304'!$F:$F)</f>
        <v>0</v>
      </c>
      <c r="BC27" s="38">
        <f>SUMIF('Rig 304'!$B:$B,Lists!$A$10,'Rig 304'!$G:$G)</f>
        <v>0</v>
      </c>
      <c r="BD27" s="38">
        <f>SUMIF('Rig 304'!$B:$B,Lists!$A$10,'Rig 304'!$H:$H)</f>
        <v>155</v>
      </c>
      <c r="BE27" s="38">
        <f>SUMIF('Rig 304'!$B:$B,Lists!$A$10,'Rig 304'!$I:$I)</f>
        <v>0</v>
      </c>
      <c r="BF27" s="38">
        <f>SUMIF('Rig 304'!$B:$B,Lists!$A$11,'Rig 304'!$C:$C)</f>
        <v>139</v>
      </c>
      <c r="BG27" s="38">
        <f>SUMIF('Rig 304'!$B:$B,Lists!$A$11,'Rig 304'!$E:$E)</f>
        <v>172</v>
      </c>
      <c r="BH27" s="38">
        <f>SUMIF('Rig 304'!$B:$B,Lists!$A$11,'Rig 304'!$F:$F)</f>
        <v>0</v>
      </c>
      <c r="BI27" s="38">
        <f>SUMIF('Rig 304'!$B:$B,Lists!$A$11,'Rig 304'!$G:$G)</f>
        <v>0</v>
      </c>
      <c r="BJ27" s="38">
        <f>SUMIF('Rig 304'!$B:$B,Lists!$A$11,'Rig 304'!$H:$H)</f>
        <v>149</v>
      </c>
      <c r="BK27" s="38">
        <f>SUMIF('Rig 304'!$B:$B,Lists!$A$11,'Rig 304'!$I:$I)</f>
        <v>0</v>
      </c>
      <c r="BL27" s="38">
        <f>SUMIF('Rig 304'!$B:$B,Lists!$A$12,'Rig 304'!$C:$C)</f>
        <v>125</v>
      </c>
      <c r="BM27" s="38">
        <f>SUMIF('Rig 304'!$B:$B,Lists!$A$12,'Rig 304'!$E:$E)</f>
        <v>189</v>
      </c>
      <c r="BN27" s="38">
        <f>SUMIF('Rig 304'!$B:$B,Lists!$A$12,'Rig 304'!$F:$F)</f>
        <v>0</v>
      </c>
      <c r="BO27" s="38">
        <f>SUMIF('Rig 304'!$B:$B,Lists!$A$12,'Rig 304'!$G:$G)</f>
        <v>0</v>
      </c>
      <c r="BP27" s="38">
        <f>SUMIF('Rig 304'!$B:$B,Lists!$A$12,'Rig 304'!$H:$H)</f>
        <v>39</v>
      </c>
      <c r="BQ27" s="38">
        <f>SUMIF('Rig 304'!$B:$B,Lists!$A$12,'Rig 304'!$I:$I)</f>
        <v>0</v>
      </c>
      <c r="BR27" s="38">
        <f>SUMIF('Rig 304'!$B:$B,Lists!$A$13,'Rig 304'!$C:$C)</f>
        <v>0</v>
      </c>
      <c r="BS27" s="38">
        <f>SUMIF('Rig 304'!$B:$B,Lists!$A$13,'Rig 304'!$E:$E)</f>
        <v>0</v>
      </c>
      <c r="BT27" s="38">
        <f>SUMIF('Rig 304'!$B:$B,Lists!$A$13,'Rig 304'!$F:$F)</f>
        <v>0</v>
      </c>
      <c r="BU27" s="38">
        <f>SUMIF('Rig 304'!$B:$B,Lists!$A$13,'Rig 304'!$G:$G)</f>
        <v>0</v>
      </c>
      <c r="BV27" s="38">
        <f>SUMIF('Rig 304'!$B:$B,Lists!$A$13,'Rig 304'!$H:$H)</f>
        <v>0</v>
      </c>
      <c r="BW27" s="38">
        <f>SUMIF('Rig 304'!$B:$B,Lists!$A$13,'Rig 304'!$I:$I)</f>
        <v>0</v>
      </c>
      <c r="BX27" s="38">
        <f>SUMIF('Rig 304'!$B:$B,Lists!$A$14,'Rig 304'!$C:$C)</f>
        <v>0</v>
      </c>
      <c r="BY27" s="38">
        <f>SUMIF('Rig 304'!$B:$B,Lists!$A$14,'Rig 304'!$E:$E)</f>
        <v>0</v>
      </c>
      <c r="BZ27" s="38">
        <f>SUMIF('Rig 304'!$B:$B,Lists!$A$14,'Rig 304'!$F:$F)</f>
        <v>0</v>
      </c>
      <c r="CA27" s="38">
        <f>SUMIF('Rig 304'!$B:$B,Lists!$A$14,'Rig 304'!$G:$G)</f>
        <v>0</v>
      </c>
      <c r="CB27" s="38">
        <f>SUMIF('Rig 304'!$B:$B,Lists!$A$14,'Rig 304'!$H:$H)</f>
        <v>0</v>
      </c>
      <c r="CC27" s="38">
        <f>SUMIF('Rig 304'!$B:$B,Lists!$A$14,'Rig 304'!$I:$I)</f>
        <v>0</v>
      </c>
      <c r="CD27" s="38">
        <f>SUMIF('Rig 304'!$B:$B,Lists!$A$15,'Rig 304'!$C:$C)</f>
        <v>0</v>
      </c>
      <c r="CE27" s="38">
        <f>SUMIF('Rig 304'!$B:$B,Lists!$A$15,'Rig 304'!$E:$E)</f>
        <v>0</v>
      </c>
      <c r="CF27" s="38">
        <f>SUMIF('Rig 304'!$B:$B,Lists!$A$15,'Rig 304'!$F:$F)</f>
        <v>0</v>
      </c>
      <c r="CG27" s="38">
        <f>SUMIF('Rig 304'!$B:$B,Lists!$A$15,'Rig 304'!$G:$G)</f>
        <v>0</v>
      </c>
      <c r="CH27" s="38">
        <f>SUMIF('Rig 304'!$B:$B,Lists!$A$15,'Rig 304'!$H:$H)</f>
        <v>0</v>
      </c>
      <c r="CI27" s="38">
        <f>SUMIF('Rig 304'!$B:$B,Lists!$A$15,'Rig 304'!$I:$I)</f>
        <v>0</v>
      </c>
      <c r="CJ27" s="38">
        <f>SUMIF('Rig 304'!$B:$B,Lists!$A$16,'Rig 304'!$C:$C)</f>
        <v>0</v>
      </c>
      <c r="CK27" s="38">
        <f>SUMIF('Rig 304'!$B:$B,Lists!$A$16,'Rig 304'!$E:$E)</f>
        <v>12</v>
      </c>
      <c r="CL27" s="38">
        <f>SUMIF('Rig 304'!$B:$B,Lists!$A$16,'Rig 304'!$F:$F)</f>
        <v>0</v>
      </c>
      <c r="CM27" s="38">
        <f>SUMIF('Rig 304'!$B:$B,Lists!$A$16,'Rig 304'!$G:$G)</f>
        <v>0</v>
      </c>
      <c r="CN27" s="38">
        <f>SUMIF('Rig 304'!$B:$B,Lists!$A$16,'Rig 304'!$H:$H)</f>
        <v>0</v>
      </c>
      <c r="CO27" s="38">
        <f>SUMIF('Rig 304'!$B:$B,Lists!$A$16,'Rig 304'!$I:$I)</f>
        <v>0</v>
      </c>
      <c r="CP27" s="38">
        <f>SUMIF('Rig 304'!$B:$B,Lists!$A$17,'Rig 304'!$C:$C)</f>
        <v>0</v>
      </c>
      <c r="CQ27" s="38">
        <f>SUMIF('Rig 304'!$B:$B,Lists!$A$17,'Rig 304'!$E:$E)</f>
        <v>0</v>
      </c>
      <c r="CR27" s="38">
        <f>SUMIF('Rig 304'!$B:$B,Lists!$A$17,'Rig 304'!$F:$F)</f>
        <v>0</v>
      </c>
      <c r="CS27" s="38">
        <f>SUMIF('Rig 304'!$B:$B,Lists!$A$17,'Rig 304'!$G:$G)</f>
        <v>0</v>
      </c>
      <c r="CT27" s="38">
        <f>SUMIF('Rig 304'!$B:$B,Lists!$A$17,'Rig 304'!$H:$H)</f>
        <v>0</v>
      </c>
      <c r="CU27" s="38">
        <f>SUMIF('Rig 304'!$B:$B,Lists!$A$17,'Rig 304'!$I:$I)</f>
        <v>0</v>
      </c>
      <c r="CV27" s="38">
        <f>SUMIF('Rig 304'!$B:$B,Lists!$A$18,'Rig 304'!$C:$C)</f>
        <v>0</v>
      </c>
      <c r="CW27" s="38">
        <f>SUMIF('Rig 304'!$B:$B,Lists!$A$18,'Rig 304'!$E:$E)</f>
        <v>0</v>
      </c>
      <c r="CX27" s="38">
        <f>SUMIF('Rig 304'!$B:$B,Lists!$A$18,'Rig 304'!$F:$F)</f>
        <v>0</v>
      </c>
      <c r="CY27" s="38">
        <f>SUMIF('Rig 304'!$B:$B,Lists!$A$18,'Rig 304'!$G:$G)</f>
        <v>0</v>
      </c>
      <c r="CZ27" s="38">
        <f>SUMIF('Rig 304'!$B:$B,Lists!$A$18,'Rig 304'!$H:$H)</f>
        <v>0</v>
      </c>
      <c r="DA27" s="38">
        <f>SUMIF('Rig 304'!$B:$B,Lists!$A$18,'Rig 304'!$I:$I)</f>
        <v>0</v>
      </c>
      <c r="DB27" s="38">
        <f>SUMIF('Rig 304'!$B:$B,Lists!$A$19,'Rig 304'!$C:$C)</f>
        <v>0</v>
      </c>
      <c r="DC27" s="38">
        <f>SUMIF('Rig 304'!$B:$B,Lists!$A$19,'Rig 304'!$E:$E)</f>
        <v>2</v>
      </c>
      <c r="DD27" s="38">
        <f>SUMIF('Rig 304'!$B:$B,Lists!$A$19,'Rig 304'!$F:$F)</f>
        <v>0</v>
      </c>
      <c r="DE27" s="38">
        <f>SUMIF('Rig 304'!$B:$B,Lists!$A$19,'Rig 304'!$G:$G)</f>
        <v>0</v>
      </c>
      <c r="DF27" s="38">
        <f>SUMIF('Rig 304'!$B:$B,Lists!$A$19,'Rig 304'!$H:$H)</f>
        <v>0</v>
      </c>
      <c r="DG27" s="38">
        <f>SUMIF('Rig 304'!$B:$B,Lists!$A$19,'Rig 304'!$I:$I)</f>
        <v>0</v>
      </c>
      <c r="DH27" s="38">
        <f>SUMIF('Rig 304'!$B:$B,Lists!$A$20,'Rig 304'!$C:$C)</f>
        <v>0</v>
      </c>
      <c r="DI27" s="38">
        <f>SUMIF('Rig 304'!$B:$B,Lists!$A$20,'Rig 304'!$E:$E)</f>
        <v>0</v>
      </c>
      <c r="DJ27" s="38">
        <f>SUMIF('Rig 304'!$B:$B,Lists!$A$20,'Rig 304'!$F:$F)</f>
        <v>0</v>
      </c>
      <c r="DK27" s="38">
        <f>SUMIF('Rig 304'!$B:$B,Lists!$A$20,'Rig 304'!$G:$G)</f>
        <v>0</v>
      </c>
      <c r="DL27" s="38">
        <f>SUMIF('Rig 304'!$B:$B,Lists!$A$20,'Rig 304'!$H:$H)</f>
        <v>0</v>
      </c>
      <c r="DM27" s="38">
        <f>SUMIF('Rig 304'!$B:$B,Lists!$A$20,'Rig 304'!$I:$I)</f>
        <v>0</v>
      </c>
      <c r="DN27" s="38">
        <f>SUMIF('Rig 304'!$B:$B,Lists!$A$21,'Rig 304'!$C:$C)</f>
        <v>0</v>
      </c>
      <c r="DO27" s="38">
        <f>SUMIF('Rig 304'!$B:$B,Lists!$A$21,'Rig 304'!$E:$E)</f>
        <v>0</v>
      </c>
      <c r="DP27" s="38">
        <f>SUMIF('Rig 304'!$B:$B,Lists!$A$21,'Rig 304'!$F:$F)</f>
        <v>0</v>
      </c>
      <c r="DQ27" s="38">
        <f>SUMIF('Rig 304'!$B:$B,Lists!$A$21,'Rig 304'!$G:$G)</f>
        <v>0</v>
      </c>
      <c r="DR27" s="38">
        <f>SUMIF('Rig 304'!$B:$B,Lists!$A$21,'Rig 304'!$H:$H)</f>
        <v>0</v>
      </c>
      <c r="DS27" s="38">
        <f>SUMIF('Rig 304'!$B:$B,Lists!$A$21,'Rig 304'!$I:$I)</f>
        <v>0</v>
      </c>
      <c r="DT27" s="38">
        <f>SUMIF('Rig 304'!$B:$B,Lists!$A$22,'Rig 304'!$C:$C)</f>
        <v>0</v>
      </c>
      <c r="DU27" s="38">
        <f>SUMIF('Rig 304'!$B:$B,Lists!$A$22,'Rig 304'!$E:$E)</f>
        <v>0</v>
      </c>
      <c r="DV27" s="38">
        <f>SUMIF('Rig 304'!$B:$B,Lists!$A$22,'Rig 304'!$F:$F)</f>
        <v>0</v>
      </c>
      <c r="DW27" s="38">
        <f>SUMIF('Rig 304'!$B:$B,Lists!$A$22,'Rig 304'!$G:$G)</f>
        <v>0</v>
      </c>
      <c r="DX27" s="38">
        <f>SUMIF('Rig 304'!$B:$B,Lists!$A$22,'Rig 304'!$H:$H)</f>
        <v>0</v>
      </c>
      <c r="DY27" s="38">
        <f>SUMIF('Rig 304'!$B:$B,Lists!$A$22,'Rig 304'!$I:$I)</f>
        <v>0</v>
      </c>
      <c r="DZ27" s="38">
        <f>SUMIF('Rig 304'!$B:$B,Lists!$A$23,'Rig 304'!$C:$C)</f>
        <v>0</v>
      </c>
      <c r="EA27" s="38">
        <f>SUMIF('Rig 304'!$B:$B,Lists!$A$23,'Rig 304'!$E:$E)</f>
        <v>16</v>
      </c>
      <c r="EB27" s="38">
        <f>SUMIF('Rig 304'!$B:$B,Lists!$A$23,'Rig 304'!$F:$F)</f>
        <v>0</v>
      </c>
      <c r="EC27" s="38">
        <f>SUMIF('Rig 304'!$B:$B,Lists!$A$23,'Rig 304'!$G:$G)</f>
        <v>0</v>
      </c>
      <c r="ED27" s="38">
        <f>SUMIF('Rig 304'!$B:$B,Lists!$A$23,'Rig 304'!$H:$H)</f>
        <v>0</v>
      </c>
      <c r="EE27" s="38">
        <f>SUMIF('Rig 304'!$B:$B,Lists!$A$23,'Rig 304'!$I:$I)</f>
        <v>0</v>
      </c>
      <c r="EF27" s="38">
        <f>SUMIF('Rig 304'!$B:$B,Lists!$A$24,'Rig 304'!$C:$C)</f>
        <v>20</v>
      </c>
      <c r="EG27" s="38">
        <f>SUMIF('Rig 304'!$B:$B,Lists!$A$24,'Rig 304'!$E:$E)</f>
        <v>13</v>
      </c>
      <c r="EH27" s="38">
        <f>SUMIF('Rig 304'!$B:$B,Lists!$A$24,'Rig 304'!$F:$F)</f>
        <v>11</v>
      </c>
      <c r="EI27" s="38">
        <f>SUMIF('Rig 304'!$B:$B,Lists!$A$24,'Rig 304'!$G:$G)</f>
        <v>0</v>
      </c>
      <c r="EJ27" s="38">
        <f>SUMIF('Rig 304'!$B:$B,Lists!$A$24,'Rig 304'!$H:$H)</f>
        <v>0</v>
      </c>
      <c r="EK27" s="38">
        <f>SUMIF('Rig 304'!$B:$B,Lists!$A$24,'Rig 304'!$I:$I)</f>
        <v>0</v>
      </c>
      <c r="EL27" s="38">
        <f>SUMIF('Rig 304'!$B:$B,Lists!$A$25,'Rig 304'!$C:$C)</f>
        <v>0</v>
      </c>
      <c r="EM27" s="38">
        <f>SUMIF('Rig 304'!$B:$B,Lists!$A$25,'Rig 304'!$E:$E)</f>
        <v>0</v>
      </c>
      <c r="EN27" s="38">
        <f>SUMIF('Rig 304'!$B:$B,Lists!$A$25,'Rig 304'!$F:$F)</f>
        <v>0</v>
      </c>
      <c r="EO27" s="38">
        <f>SUMIF('Rig 304'!$B:$B,Lists!$A$25,'Rig 304'!$G:$G)</f>
        <v>0</v>
      </c>
      <c r="EP27" s="38">
        <f>SUMIF('Rig 304'!$B:$B,Lists!$A$25,'Rig 304'!$H:$H)</f>
        <v>0</v>
      </c>
      <c r="EQ27" s="38">
        <f>SUMIF('Rig 304'!$B:$B,Lists!$A$25,'Rig 304'!$I:$I)</f>
        <v>0</v>
      </c>
      <c r="ER27" s="38">
        <f>SUMIF('Rig 304'!$B:$B,Lists!$A$26,'Rig 304'!$C:$C)</f>
        <v>0</v>
      </c>
      <c r="ES27" s="38">
        <f>SUMIF('Rig 304'!$B:$B,Lists!$A$26,'Rig 304'!$E:$E)</f>
        <v>0</v>
      </c>
      <c r="ET27" s="38">
        <f>SUMIF('Rig 304'!$B:$B,Lists!$A$26,'Rig 304'!$F:$F)</f>
        <v>0</v>
      </c>
      <c r="EU27" s="38">
        <f>SUMIF('Rig 304'!$B:$B,Lists!$A$26,'Rig 304'!$G:$G)</f>
        <v>0</v>
      </c>
      <c r="EV27" s="38">
        <f>SUMIF('Rig 304'!$B:$B,Lists!$A$26,'Rig 304'!$H:$H)</f>
        <v>0</v>
      </c>
      <c r="EW27" s="38">
        <f>SUMIF('Rig 304'!$B:$B,Lists!$A$26,'Rig 304'!$I:$I)</f>
        <v>0</v>
      </c>
      <c r="EX27" s="38">
        <f>SUMIF('Rig 304'!$B:$B,Lists!$A$27,'Rig 304'!$C:$C)</f>
        <v>0</v>
      </c>
      <c r="EY27" s="38">
        <f>SUMIF('Rig 304'!$B:$B,Lists!$A$27,'Rig 304'!$E:$E)</f>
        <v>0</v>
      </c>
      <c r="EZ27" s="38">
        <f>SUMIF('Rig 304'!$B:$B,Lists!$A$27,'Rig 304'!$F:$F)</f>
        <v>0</v>
      </c>
      <c r="FA27" s="38">
        <f>SUMIF('Rig 304'!$B:$B,Lists!$A$27,'Rig 304'!$G:$G)</f>
        <v>0</v>
      </c>
      <c r="FB27" s="38">
        <f>SUMIF('Rig 304'!$B:$B,Lists!$A$27,'Rig 304'!$H:$H)</f>
        <v>0</v>
      </c>
      <c r="FC27" s="38">
        <f>SUMIF('Rig 304'!$B:$B,Lists!$A$27,'Rig 304'!$I:$I)</f>
        <v>0</v>
      </c>
      <c r="FD27" s="38">
        <f>SUMIF('Rig 304'!$B:$B,Lists!$A$28,'Rig 304'!$C:$C)</f>
        <v>0</v>
      </c>
      <c r="FE27" s="38">
        <f>SUMIF('Rig 304'!$B:$B,Lists!$A$28,'Rig 304'!$E:$E)</f>
        <v>20</v>
      </c>
      <c r="FF27" s="38">
        <f>SUMIF('Rig 304'!$B:$B,Lists!$A$28,'Rig 304'!$F:$F)</f>
        <v>0</v>
      </c>
      <c r="FG27" s="38">
        <f>SUMIF('Rig 304'!$B:$B,Lists!$A$28,'Rig 304'!$G:$G)</f>
        <v>0</v>
      </c>
      <c r="FH27" s="38">
        <f>SUMIF('Rig 304'!$B:$B,Lists!$A$28,'Rig 304'!$H:$H)</f>
        <v>0</v>
      </c>
      <c r="FI27" s="38">
        <f>SUMIF('Rig 304'!$B:$B,Lists!$A$28,'Rig 304'!$I:$I)</f>
        <v>0</v>
      </c>
      <c r="FJ27" s="38">
        <f>SUMIF('Rig 304'!$B:$B,Lists!$A$29,'Rig 304'!$C:$C)</f>
        <v>20</v>
      </c>
      <c r="FK27" s="38">
        <f>SUMIF('Rig 304'!$B:$B,Lists!$A$29,'Rig 304'!$E:$E)</f>
        <v>0</v>
      </c>
      <c r="FL27" s="38">
        <f>SUMIF('Rig 304'!$B:$B,Lists!$A$29,'Rig 304'!$F:$F)</f>
        <v>0</v>
      </c>
      <c r="FM27" s="38">
        <f>SUMIF('Rig 304'!$B:$B,Lists!$A$29,'Rig 304'!$G:$G)</f>
        <v>0</v>
      </c>
      <c r="FN27" s="38">
        <f>SUMIF('Rig 304'!$B:$B,Lists!$A$29,'Rig 304'!$H:$H)</f>
        <v>7</v>
      </c>
      <c r="FO27" s="38">
        <f>SUMIF('Rig 304'!$B:$B,Lists!$A$29,'Rig 304'!$I:$I)</f>
        <v>0</v>
      </c>
      <c r="FP27" s="38">
        <f>SUMIF('Rig 304'!$B:$B,Lists!$A$30,'Rig 304'!$C:$C)</f>
        <v>0</v>
      </c>
      <c r="FQ27" s="38">
        <f>SUMIF('Rig 304'!$B:$B,Lists!$A$30,'Rig 304'!$E:$E)</f>
        <v>0</v>
      </c>
      <c r="FR27" s="38">
        <f>SUMIF('Rig 304'!$B:$B,Lists!$A$30,'Rig 304'!$F:$F)</f>
        <v>0</v>
      </c>
      <c r="FS27" s="38">
        <f>SUMIF('Rig 304'!$B:$B,Lists!$A$30,'Rig 304'!$G:$G)</f>
        <v>0</v>
      </c>
      <c r="FT27" s="38">
        <f>SUMIF('Rig 304'!$B:$B,Lists!$A$30,'Rig 304'!$H:$H)</f>
        <v>0</v>
      </c>
      <c r="FU27" s="38">
        <f>SUMIF('Rig 304'!$B:$B,Lists!$A$30,'Rig 304'!$I:$I)</f>
        <v>0</v>
      </c>
      <c r="FV27" s="38">
        <f>SUMIF('Rig 304'!$B:$B,Lists!$A$31,'Rig 304'!$C:$C)</f>
        <v>0</v>
      </c>
      <c r="FW27" s="38">
        <f>SUMIF('Rig 304'!$B:$B,Lists!$A$31,'Rig 304'!$E:$E)</f>
        <v>0</v>
      </c>
      <c r="FX27" s="38">
        <f>SUMIF('Rig 304'!$B:$B,Lists!$A$31,'Rig 304'!$F:$F)</f>
        <v>0</v>
      </c>
      <c r="FY27" s="38">
        <f>SUMIF('Rig 304'!$B:$B,Lists!$A$31,'Rig 304'!$G:$G)</f>
        <v>0</v>
      </c>
      <c r="FZ27" s="38">
        <f>SUMIF('Rig 304'!$B:$B,Lists!$A$31,'Rig 304'!$H:$H)</f>
        <v>0</v>
      </c>
      <c r="GA27" s="38">
        <f>SUMIF('Rig 304'!$B:$B,Lists!$A$31,'Rig 304'!$I:$I)</f>
        <v>0</v>
      </c>
      <c r="GB27" s="38">
        <f>SUMIF('Rig 304'!$B:$B,Lists!$A$32,'Rig 304'!$C:$C)</f>
        <v>0</v>
      </c>
      <c r="GC27" s="38">
        <f>SUMIF('Rig 304'!$B:$B,Lists!$A$32,'Rig 304'!$E:$E)</f>
        <v>0</v>
      </c>
      <c r="GD27" s="38">
        <f>SUMIF('Rig 304'!$B:$B,Lists!$A$32,'Rig 304'!$F:$F)</f>
        <v>0</v>
      </c>
      <c r="GE27" s="38">
        <f>SUMIF('Rig 304'!$B:$B,Lists!$A$32,'Rig 304'!$G:$G)</f>
        <v>0</v>
      </c>
      <c r="GF27" s="38">
        <f>SUMIF('Rig 304'!$B:$B,Lists!$A$32,'Rig 304'!$H:$H)</f>
        <v>0</v>
      </c>
      <c r="GG27" s="38">
        <f>SUMIF('Rig 304'!$B:$B,Lists!$A$32,'Rig 304'!$I:$I)</f>
        <v>0</v>
      </c>
      <c r="GH27" s="38">
        <f>SUMIF('Rig 304'!$B:$B,Lists!$A$33,'Rig 304'!$C:$C)</f>
        <v>0</v>
      </c>
      <c r="GI27" s="38">
        <f>SUMIF('Rig 304'!$B:$B,Lists!$A$33,'Rig 304'!$E:$E)</f>
        <v>0</v>
      </c>
      <c r="GJ27" s="38">
        <f>SUMIF('Rig 304'!$B:$B,Lists!$A$33,'Rig 304'!$F:$F)</f>
        <v>0</v>
      </c>
      <c r="GK27" s="38">
        <f>SUMIF('Rig 304'!$B:$B,Lists!$A$33,'Rig 304'!$G:$G)</f>
        <v>0</v>
      </c>
      <c r="GL27" s="38">
        <f>SUMIF('Rig 304'!$B:$B,Lists!$A$33,'Rig 304'!$H:$H)</f>
        <v>0</v>
      </c>
      <c r="GM27" s="38">
        <f>SUMIF('Rig 304'!$B:$B,Lists!$A$33,'Rig 304'!$I:$I)</f>
        <v>0</v>
      </c>
      <c r="GN27" s="38">
        <f>SUMIF('Rig 304'!$B:$B,Lists!$A$34,'Rig 304'!$C:$C)</f>
        <v>0</v>
      </c>
      <c r="GO27" s="38">
        <f>SUMIF('Rig 304'!$B:$B,Lists!$A$34,'Rig 304'!$E:$E)</f>
        <v>4</v>
      </c>
      <c r="GP27" s="38">
        <f>SUMIF('Rig 304'!$B:$B,Lists!$A$34,'Rig 304'!$F:$F)</f>
        <v>0</v>
      </c>
      <c r="GQ27" s="38">
        <f>SUMIF('Rig 304'!$B:$B,Lists!$A$34,'Rig 304'!$G:$G)</f>
        <v>0</v>
      </c>
      <c r="GR27" s="38">
        <f>SUMIF('Rig 304'!$B:$B,Lists!$A$34,'Rig 304'!$H:$H)</f>
        <v>0</v>
      </c>
      <c r="GS27" s="38">
        <f>SUMIF('Rig 304'!$B:$B,Lists!$A$34,'Rig 304'!$I:$I)</f>
        <v>0</v>
      </c>
      <c r="GT27" s="38">
        <f>SUMIF('Rig 304'!$B:$B,Lists!$A$35,'Rig 304'!$C:$C)</f>
        <v>0</v>
      </c>
      <c r="GU27" s="38">
        <f>SUMIF('Rig 304'!$B:$B,Lists!$A$35,'Rig 304'!$E:$E)</f>
        <v>0</v>
      </c>
      <c r="GV27" s="38">
        <f>SUMIF('Rig 304'!$B:$B,Lists!$A$35,'Rig 304'!$F:$F)</f>
        <v>0</v>
      </c>
      <c r="GW27" s="38">
        <f>SUMIF('Rig 304'!$B:$B,Lists!$A$35,'Rig 304'!$G:$G)</f>
        <v>0</v>
      </c>
      <c r="GX27" s="38">
        <f>SUMIF('Rig 304'!$B:$B,Lists!$A$35,'Rig 304'!$H:$H)</f>
        <v>0</v>
      </c>
      <c r="GY27" s="38">
        <f>SUMIF('Rig 304'!$B:$B,Lists!$A$35,'Rig 304'!$I:$I)</f>
        <v>0</v>
      </c>
      <c r="GZ27" s="38">
        <f>SUMIF('Rig 304'!$B:$B,Lists!$A$36,'Rig 304'!$C:$C)</f>
        <v>0</v>
      </c>
      <c r="HA27" s="38">
        <f>SUMIF('Rig 304'!$B:$B,Lists!$A$36,'Rig 304'!$E:$E)</f>
        <v>0</v>
      </c>
      <c r="HB27" s="38">
        <f>SUMIF('Rig 304'!$B:$B,Lists!$A$36,'Rig 304'!$F:$F)</f>
        <v>0</v>
      </c>
      <c r="HC27" s="38">
        <f>SUMIF('Rig 304'!$B:$B,Lists!$A$36,'Rig 304'!$G:$G)</f>
        <v>0</v>
      </c>
      <c r="HD27" s="38">
        <f>SUMIF('Rig 304'!$B:$B,Lists!$A$36,'Rig 304'!$H:$H)</f>
        <v>0</v>
      </c>
      <c r="HE27" s="38">
        <f>SUMIF('Rig 304'!$B:$B,Lists!$A$36,'Rig 304'!$I:$I)</f>
        <v>0</v>
      </c>
      <c r="HF27" s="38">
        <f>SUMIF('Rig 304'!$B:$B,Lists!$A$37,'Rig 304'!$C:$C)</f>
        <v>0</v>
      </c>
      <c r="HG27" s="38">
        <f>SUMIF('Rig 304'!$B:$B,Lists!$A$37,'Rig 304'!$E:$E)</f>
        <v>0</v>
      </c>
      <c r="HH27" s="38">
        <f>SUMIF('Rig 304'!$B:$B,Lists!$A$37,'Rig 304'!$F:$F)</f>
        <v>0</v>
      </c>
      <c r="HI27" s="38">
        <f>SUMIF('Rig 304'!$B:$B,Lists!$A$37,'Rig 304'!$G:$G)</f>
        <v>0</v>
      </c>
      <c r="HJ27" s="38">
        <f>SUMIF('Rig 304'!$B:$B,Lists!$A$37,'Rig 304'!$H:$H)</f>
        <v>0</v>
      </c>
      <c r="HK27" s="38">
        <f>SUMIF('Rig 304'!$B:$B,Lists!$A$37,'Rig 304'!$I:$I)</f>
        <v>0</v>
      </c>
      <c r="HL27" s="38">
        <f>SUMIF('Rig 304'!$B:$B,Lists!$A$38,'Rig 304'!$C:$C)</f>
        <v>0</v>
      </c>
      <c r="HM27" s="38">
        <f>SUMIF('Rig 304'!$B:$B,Lists!$A$38,'Rig 304'!$E:$E)</f>
        <v>3</v>
      </c>
      <c r="HN27" s="38">
        <f>SUMIF('Rig 304'!$B:$B,Lists!$A$38,'Rig 304'!$F:$F)</f>
        <v>0</v>
      </c>
      <c r="HO27" s="38">
        <f>SUMIF('Rig 304'!$B:$B,Lists!$A$38,'Rig 304'!$G:$G)</f>
        <v>0</v>
      </c>
      <c r="HP27" s="38">
        <f>SUMIF('Rig 304'!$B:$B,Lists!$A$38,'Rig 304'!$H:$H)</f>
        <v>0</v>
      </c>
      <c r="HQ27" s="38">
        <f>SUMIF('Rig 304'!$B:$B,Lists!$A$38,'Rig 304'!$I:$I)</f>
        <v>0</v>
      </c>
      <c r="HR27" s="38">
        <f>SUMIF('Rig 304'!$B:$B,Lists!$A$39,'Rig 304'!$C:$C)</f>
        <v>0</v>
      </c>
      <c r="HS27" s="38">
        <f>SUMIF('Rig 304'!$B:$B,Lists!$A$39,'Rig 304'!$E:$E)</f>
        <v>0</v>
      </c>
      <c r="HT27" s="38">
        <f>SUMIF('Rig 304'!$B:$B,Lists!$A$39,'Rig 304'!$F:$F)</f>
        <v>0</v>
      </c>
      <c r="HU27" s="38">
        <f>SUMIF('Rig 304'!$B:$B,Lists!$A$39,'Rig 304'!$G:$G)</f>
        <v>0</v>
      </c>
      <c r="HV27" s="38">
        <f>SUMIF('Rig 304'!$B:$B,Lists!$A$39,'Rig 304'!$H:$H)</f>
        <v>0</v>
      </c>
      <c r="HW27" s="38">
        <f>SUMIF('Rig 304'!$B:$B,Lists!$A$39,'Rig 304'!$I:$I)</f>
        <v>0</v>
      </c>
      <c r="HX27" s="38">
        <f>SUMIF('Rig 304'!$B:$B,Lists!$A$40,'Rig 304'!$C:$C)</f>
        <v>0</v>
      </c>
      <c r="HY27" s="38">
        <f>SUMIF('Rig 304'!$B:$B,Lists!$A$40,'Rig 304'!$E:$E)</f>
        <v>0</v>
      </c>
      <c r="HZ27" s="38">
        <f>SUMIF('Rig 304'!$B:$B,Lists!$A$40,'Rig 304'!$F:$F)</f>
        <v>0</v>
      </c>
      <c r="IA27" s="38">
        <f>SUMIF('Rig 304'!$B:$B,Lists!$A$40,'Rig 304'!$G:$G)</f>
        <v>0</v>
      </c>
      <c r="IB27" s="38">
        <f>SUMIF('Rig 304'!$B:$B,Lists!$A$40,'Rig 304'!$H:$H)</f>
        <v>0</v>
      </c>
      <c r="IC27" s="38">
        <f>SUMIF('Rig 304'!$B:$B,Lists!$A$40,'Rig 304'!$I:$I)</f>
        <v>0</v>
      </c>
      <c r="ID27" s="38">
        <f>SUMIF('Rig 304'!$B:$B,Lists!$A$41,'Rig 304'!$C:$C)</f>
        <v>0</v>
      </c>
      <c r="IE27" s="38">
        <f>SUMIF('Rig 304'!$B:$B,Lists!$A$41,'Rig 304'!$E:$E)</f>
        <v>0</v>
      </c>
      <c r="IF27" s="38">
        <f>SUMIF('Rig 304'!$B:$B,Lists!$A$41,'Rig 304'!$F:$F)</f>
        <v>0</v>
      </c>
      <c r="IG27" s="38">
        <f>SUMIF('Rig 304'!$B:$B,Lists!$A$41,'Rig 304'!$G:$G)</f>
        <v>0</v>
      </c>
      <c r="IH27" s="38">
        <f>SUMIF('Rig 304'!$B:$B,Lists!$A$41,'Rig 304'!$H:$H)</f>
        <v>0</v>
      </c>
      <c r="II27" s="38">
        <f>SUMIF('Rig 304'!$B:$B,Lists!$A$41,'Rig 304'!$I:$I)</f>
        <v>0</v>
      </c>
    </row>
    <row r="28" spans="1:243" ht="19.5" customHeight="1" x14ac:dyDescent="0.3">
      <c r="A28" s="31" t="s">
        <v>99</v>
      </c>
      <c r="B28" s="32">
        <f>'Rig 305'!D2</f>
        <v>46132</v>
      </c>
      <c r="C28" s="33" t="s">
        <v>77</v>
      </c>
      <c r="D28" s="34">
        <f>SUMIF('Rig 305'!$B:$B,Lists!$A$2,'Rig 305'!$C:$C)</f>
        <v>0</v>
      </c>
      <c r="E28" s="34">
        <f>SUMIF('Rig 305'!$B:$B,Lists!$A$2,'Rig 305'!$E:$E)</f>
        <v>0</v>
      </c>
      <c r="F28" s="34">
        <f>SUMIF('Rig 305'!$B:$B,Lists!$A$2,'Rig 305'!$F:$F)</f>
        <v>0</v>
      </c>
      <c r="G28" s="34">
        <f>SUMIF('Rig 305'!$B:$B,Lists!$A$2,'Rig 305'!$G:$G)</f>
        <v>0</v>
      </c>
      <c r="H28" s="34">
        <f>SUMIF('Rig 305'!$B:$B,Lists!$A$2,'Rig 305'!$H:$H)</f>
        <v>0</v>
      </c>
      <c r="I28" s="34">
        <f>SUMIF('Rig 305'!$B:$B,Lists!$A$2,'Rig 305'!$I:$I)</f>
        <v>0</v>
      </c>
      <c r="J28" s="34">
        <f>SUMIF('Rig 305'!$B:$B,Lists!$A$3,'Rig 305'!$C:$C)</f>
        <v>0</v>
      </c>
      <c r="K28" s="34">
        <f>SUMIF('Rig 305'!$B:$B,Lists!$A$3,'Rig 305'!$E:$E)</f>
        <v>0</v>
      </c>
      <c r="L28" s="34">
        <f>SUMIF('Rig 305'!$B:$B,Lists!$A$3,'Rig 305'!$F:$F)</f>
        <v>0</v>
      </c>
      <c r="M28" s="34">
        <f>SUMIF('Rig 305'!$B:$B,Lists!$A$3,'Rig 305'!$G:$G)</f>
        <v>0</v>
      </c>
      <c r="N28" s="34">
        <f>SUMIF('Rig 305'!$B:$B,Lists!$A$3,'Rig 305'!$H:$H)</f>
        <v>0</v>
      </c>
      <c r="O28" s="34">
        <f>SUMIF('Rig 305'!$B:$B,Lists!$A$3,'Rig 305'!$I:$I)</f>
        <v>0</v>
      </c>
      <c r="P28" s="34">
        <f>SUMIF('Rig 305'!$B:$B,Lists!$A$4,'Rig 305'!$C:$C)</f>
        <v>0</v>
      </c>
      <c r="Q28" s="34">
        <f>SUMIF('Rig 305'!$B:$B,Lists!$A$4,'Rig 305'!$E:$E)</f>
        <v>0</v>
      </c>
      <c r="R28" s="34">
        <f>SUMIF('Rig 305'!$B:$B,Lists!$A$4,'Rig 305'!$F:$F)</f>
        <v>0</v>
      </c>
      <c r="S28" s="34">
        <f>SUMIF('Rig 305'!$B:$B,Lists!$A$4,'Rig 305'!$G:$G)</f>
        <v>0</v>
      </c>
      <c r="T28" s="34">
        <f>SUMIF('Rig 305'!$B:$B,Lists!$A$4,'Rig 305'!$H:$H)</f>
        <v>0</v>
      </c>
      <c r="U28" s="34">
        <f>SUMIF('Rig 305'!$B:$B,Lists!$A$4,'Rig 305'!$I:$I)</f>
        <v>0</v>
      </c>
      <c r="V28" s="34">
        <f>SUMIF('Rig 305'!$B:$B,Lists!$A$5,'Rig 305'!$C:$C)</f>
        <v>0</v>
      </c>
      <c r="W28" s="34">
        <f>SUMIF('Rig 305'!$B:$B,Lists!$A$5,'Rig 305'!$E:$E)</f>
        <v>0</v>
      </c>
      <c r="X28" s="34">
        <f>SUMIF('Rig 305'!$B:$B,Lists!$A$5,'Rig 305'!$F:$F)</f>
        <v>0</v>
      </c>
      <c r="Y28" s="34">
        <f>SUMIF('Rig 305'!$B:$B,Lists!$A$5,'Rig 305'!$G:$G)</f>
        <v>0</v>
      </c>
      <c r="Z28" s="34">
        <f>SUMIF('Rig 305'!$B:$B,Lists!$A$5,'Rig 305'!$H:$H)</f>
        <v>0</v>
      </c>
      <c r="AA28" s="34">
        <f>SUMIF('Rig 305'!$B:$B,Lists!$A$5,'Rig 305'!$I:$I)</f>
        <v>0</v>
      </c>
      <c r="AB28" s="34">
        <f>SUMIF('Rig 305'!$B:$B,Lists!$A$6,'Rig 305'!$C:$C)</f>
        <v>0</v>
      </c>
      <c r="AC28" s="34">
        <f>SUMIF('Rig 305'!$B:$B,Lists!$A$6,'Rig 305'!$E:$E)</f>
        <v>0</v>
      </c>
      <c r="AD28" s="34">
        <f>SUMIF('Rig 305'!$B:$B,Lists!$A$6,'Rig 305'!$F:$F)</f>
        <v>0</v>
      </c>
      <c r="AE28" s="34">
        <f>SUMIF('Rig 305'!$B:$B,Lists!$A$6,'Rig 305'!$G:$G)</f>
        <v>0</v>
      </c>
      <c r="AF28" s="34">
        <f>SUMIF('Rig 305'!$B:$B,Lists!$A$6,'Rig 305'!$H:$H)</f>
        <v>0</v>
      </c>
      <c r="AG28" s="34">
        <f>SUMIF('Rig 305'!$B:$B,Lists!$A$6,'Rig 305'!$I:$I)</f>
        <v>0</v>
      </c>
      <c r="AH28" s="34">
        <f>SUMIF('Rig 305'!$B:$B,Lists!$A$7,'Rig 305'!$C:$C)</f>
        <v>375</v>
      </c>
      <c r="AI28" s="34">
        <f>SUMIF('Rig 305'!$B:$B,Lists!$A$7,'Rig 305'!$E:$E)</f>
        <v>269</v>
      </c>
      <c r="AJ28" s="34">
        <f>SUMIF('Rig 305'!$B:$B,Lists!$A$7,'Rig 305'!$F:$F)</f>
        <v>0</v>
      </c>
      <c r="AK28" s="34">
        <f>SUMIF('Rig 305'!$B:$B,Lists!$A$7,'Rig 305'!$G:$G)</f>
        <v>0</v>
      </c>
      <c r="AL28" s="34">
        <f>SUMIF('Rig 305'!$B:$B,Lists!$A$7,'Rig 305'!$H:$H)</f>
        <v>0</v>
      </c>
      <c r="AM28" s="34">
        <f>SUMIF('Rig 305'!$B:$B,Lists!$A$7,'Rig 305'!$I:$I)</f>
        <v>0</v>
      </c>
      <c r="AN28" s="34">
        <f>SUMIF('Rig 305'!$B:$B,Lists!$A$8,'Rig 305'!$C:$C)</f>
        <v>0</v>
      </c>
      <c r="AO28" s="34">
        <f>SUMIF('Rig 305'!$B:$B,Lists!$A$8,'Rig 305'!$E:$E)</f>
        <v>0</v>
      </c>
      <c r="AP28" s="34">
        <f>SUMIF('Rig 305'!$B:$B,Lists!$A$8,'Rig 305'!$F:$F)</f>
        <v>0</v>
      </c>
      <c r="AQ28" s="34">
        <f>SUMIF('Rig 305'!$B:$B,Lists!$A$8,'Rig 305'!$G:$G)</f>
        <v>0</v>
      </c>
      <c r="AR28" s="34">
        <f>SUMIF('Rig 305'!$B:$B,Lists!$A$8,'Rig 305'!$H:$H)</f>
        <v>0</v>
      </c>
      <c r="AS28" s="34">
        <f>SUMIF('Rig 305'!$B:$B,Lists!$A$8,'Rig 305'!$I:$I)</f>
        <v>0</v>
      </c>
      <c r="AT28" s="34">
        <f>SUMIF('Rig 305'!$B:$B,Lists!$A$9,'Rig 305'!$C:$C)</f>
        <v>0</v>
      </c>
      <c r="AU28" s="34">
        <f>SUMIF('Rig 305'!$B:$B,Lists!$A$9,'Rig 305'!$E:$E)</f>
        <v>0</v>
      </c>
      <c r="AV28" s="34">
        <f>SUMIF('Rig 305'!$B:$B,Lists!$A$9,'Rig 305'!$F:$F)</f>
        <v>0</v>
      </c>
      <c r="AW28" s="34">
        <f>SUMIF('Rig 305'!$B:$B,Lists!$A$9,'Rig 305'!$G:$G)</f>
        <v>0</v>
      </c>
      <c r="AX28" s="34">
        <f>SUMIF('Rig 305'!$B:$B,Lists!$A$9,'Rig 305'!$H:$H)</f>
        <v>0</v>
      </c>
      <c r="AY28" s="34">
        <f>SUMIF('Rig 305'!$B:$B,Lists!$A$9,'Rig 305'!$I:$I)</f>
        <v>0</v>
      </c>
      <c r="AZ28" s="34">
        <f>SUMIF('Rig 305'!$B:$B,Lists!$A$10,'Rig 305'!$C:$C)</f>
        <v>0</v>
      </c>
      <c r="BA28" s="34">
        <f>SUMIF('Rig 305'!$B:$B,Lists!$A$10,'Rig 305'!$E:$E)</f>
        <v>0</v>
      </c>
      <c r="BB28" s="34">
        <f>SUMIF('Rig 305'!$B:$B,Lists!$A$10,'Rig 305'!$F:$F)</f>
        <v>0</v>
      </c>
      <c r="BC28" s="34">
        <f>SUMIF('Rig 305'!$B:$B,Lists!$A$10,'Rig 305'!$G:$G)</f>
        <v>0</v>
      </c>
      <c r="BD28" s="34">
        <f>SUMIF('Rig 305'!$B:$B,Lists!$A$10,'Rig 305'!$H:$H)</f>
        <v>0</v>
      </c>
      <c r="BE28" s="34">
        <f>SUMIF('Rig 305'!$B:$B,Lists!$A$10,'Rig 305'!$I:$I)</f>
        <v>0</v>
      </c>
      <c r="BF28" s="34">
        <f>SUMIF('Rig 305'!$B:$B,Lists!$A$11,'Rig 305'!$C:$C)</f>
        <v>328</v>
      </c>
      <c r="BG28" s="34">
        <f>SUMIF('Rig 305'!$B:$B,Lists!$A$11,'Rig 305'!$E:$E)</f>
        <v>227</v>
      </c>
      <c r="BH28" s="34">
        <f>SUMIF('Rig 305'!$B:$B,Lists!$A$11,'Rig 305'!$F:$F)</f>
        <v>0</v>
      </c>
      <c r="BI28" s="34">
        <f>SUMIF('Rig 305'!$B:$B,Lists!$A$11,'Rig 305'!$G:$G)</f>
        <v>0</v>
      </c>
      <c r="BJ28" s="34">
        <f>SUMIF('Rig 305'!$B:$B,Lists!$A$11,'Rig 305'!$H:$H)</f>
        <v>0</v>
      </c>
      <c r="BK28" s="34">
        <f>SUMIF('Rig 305'!$B:$B,Lists!$A$11,'Rig 305'!$I:$I)</f>
        <v>0</v>
      </c>
      <c r="BL28" s="34">
        <f>SUMIF('Rig 305'!$B:$B,Lists!$A$12,'Rig 305'!$C:$C)</f>
        <v>272</v>
      </c>
      <c r="BM28" s="34">
        <f>SUMIF('Rig 305'!$B:$B,Lists!$A$12,'Rig 305'!$E:$E)</f>
        <v>514</v>
      </c>
      <c r="BN28" s="34">
        <f>SUMIF('Rig 305'!$B:$B,Lists!$A$12,'Rig 305'!$F:$F)</f>
        <v>0</v>
      </c>
      <c r="BO28" s="34">
        <f>SUMIF('Rig 305'!$B:$B,Lists!$A$12,'Rig 305'!$G:$G)</f>
        <v>0</v>
      </c>
      <c r="BP28" s="34">
        <f>SUMIF('Rig 305'!$B:$B,Lists!$A$12,'Rig 305'!$H:$H)</f>
        <v>0</v>
      </c>
      <c r="BQ28" s="34">
        <f>SUMIF('Rig 305'!$B:$B,Lists!$A$12,'Rig 305'!$I:$I)</f>
        <v>0</v>
      </c>
      <c r="BR28" s="34">
        <f>SUMIF('Rig 305'!$B:$B,Lists!$A$13,'Rig 305'!$C:$C)</f>
        <v>0</v>
      </c>
      <c r="BS28" s="34">
        <f>SUMIF('Rig 305'!$B:$B,Lists!$A$13,'Rig 305'!$E:$E)</f>
        <v>0</v>
      </c>
      <c r="BT28" s="34">
        <f>SUMIF('Rig 305'!$B:$B,Lists!$A$13,'Rig 305'!$F:$F)</f>
        <v>0</v>
      </c>
      <c r="BU28" s="34">
        <f>SUMIF('Rig 305'!$B:$B,Lists!$A$13,'Rig 305'!$G:$G)</f>
        <v>0</v>
      </c>
      <c r="BV28" s="34">
        <f>SUMIF('Rig 305'!$B:$B,Lists!$A$13,'Rig 305'!$H:$H)</f>
        <v>0</v>
      </c>
      <c r="BW28" s="34">
        <f>SUMIF('Rig 305'!$B:$B,Lists!$A$13,'Rig 305'!$I:$I)</f>
        <v>0</v>
      </c>
      <c r="BX28" s="34">
        <f>SUMIF('Rig 305'!$B:$B,Lists!$A$14,'Rig 305'!$C:$C)</f>
        <v>0</v>
      </c>
      <c r="BY28" s="34">
        <f>SUMIF('Rig 305'!$B:$B,Lists!$A$14,'Rig 305'!$E:$E)</f>
        <v>0</v>
      </c>
      <c r="BZ28" s="34">
        <f>SUMIF('Rig 305'!$B:$B,Lists!$A$14,'Rig 305'!$F:$F)</f>
        <v>0</v>
      </c>
      <c r="CA28" s="34">
        <f>SUMIF('Rig 305'!$B:$B,Lists!$A$14,'Rig 305'!$G:$G)</f>
        <v>0</v>
      </c>
      <c r="CB28" s="34">
        <f>SUMIF('Rig 305'!$B:$B,Lists!$A$14,'Rig 305'!$H:$H)</f>
        <v>0</v>
      </c>
      <c r="CC28" s="34">
        <f>SUMIF('Rig 305'!$B:$B,Lists!$A$14,'Rig 305'!$I:$I)</f>
        <v>0</v>
      </c>
      <c r="CD28" s="34">
        <f>SUMIF('Rig 305'!$B:$B,Lists!$A$15,'Rig 305'!$C:$C)</f>
        <v>0</v>
      </c>
      <c r="CE28" s="34">
        <f>SUMIF('Rig 305'!$B:$B,Lists!$A$15,'Rig 305'!$E:$E)</f>
        <v>0</v>
      </c>
      <c r="CF28" s="34">
        <f>SUMIF('Rig 305'!$B:$B,Lists!$A$15,'Rig 305'!$F:$F)</f>
        <v>0</v>
      </c>
      <c r="CG28" s="34">
        <f>SUMIF('Rig 305'!$B:$B,Lists!$A$15,'Rig 305'!$G:$G)</f>
        <v>0</v>
      </c>
      <c r="CH28" s="34">
        <f>SUMIF('Rig 305'!$B:$B,Lists!$A$15,'Rig 305'!$H:$H)</f>
        <v>0</v>
      </c>
      <c r="CI28" s="34">
        <f>SUMIF('Rig 305'!$B:$B,Lists!$A$15,'Rig 305'!$I:$I)</f>
        <v>0</v>
      </c>
      <c r="CJ28" s="34">
        <f>SUMIF('Rig 305'!$B:$B,Lists!$A$16,'Rig 305'!$C:$C)</f>
        <v>0</v>
      </c>
      <c r="CK28" s="34">
        <f>SUMIF('Rig 305'!$B:$B,Lists!$A$16,'Rig 305'!$E:$E)</f>
        <v>0</v>
      </c>
      <c r="CL28" s="34">
        <f>SUMIF('Rig 305'!$B:$B,Lists!$A$16,'Rig 305'!$F:$F)</f>
        <v>0</v>
      </c>
      <c r="CM28" s="34">
        <f>SUMIF('Rig 305'!$B:$B,Lists!$A$16,'Rig 305'!$G:$G)</f>
        <v>0</v>
      </c>
      <c r="CN28" s="34">
        <f>SUMIF('Rig 305'!$B:$B,Lists!$A$16,'Rig 305'!$H:$H)</f>
        <v>0</v>
      </c>
      <c r="CO28" s="34">
        <f>SUMIF('Rig 305'!$B:$B,Lists!$A$16,'Rig 305'!$I:$I)</f>
        <v>0</v>
      </c>
      <c r="CP28" s="34">
        <f>SUMIF('Rig 305'!$B:$B,Lists!$A$17,'Rig 305'!$C:$C)</f>
        <v>35</v>
      </c>
      <c r="CQ28" s="34">
        <f>SUMIF('Rig 305'!$B:$B,Lists!$A$17,'Rig 305'!$E:$E)</f>
        <v>0</v>
      </c>
      <c r="CR28" s="34">
        <f>SUMIF('Rig 305'!$B:$B,Lists!$A$17,'Rig 305'!$F:$F)</f>
        <v>0</v>
      </c>
      <c r="CS28" s="34">
        <f>SUMIF('Rig 305'!$B:$B,Lists!$A$17,'Rig 305'!$G:$G)</f>
        <v>0</v>
      </c>
      <c r="CT28" s="34">
        <f>SUMIF('Rig 305'!$B:$B,Lists!$A$17,'Rig 305'!$H:$H)</f>
        <v>0</v>
      </c>
      <c r="CU28" s="34">
        <f>SUMIF('Rig 305'!$B:$B,Lists!$A$17,'Rig 305'!$I:$I)</f>
        <v>0</v>
      </c>
      <c r="CV28" s="34">
        <f>SUMIF('Rig 305'!$B:$B,Lists!$A$18,'Rig 305'!$C:$C)</f>
        <v>0</v>
      </c>
      <c r="CW28" s="34">
        <f>SUMIF('Rig 305'!$B:$B,Lists!$A$18,'Rig 305'!$E:$E)</f>
        <v>0</v>
      </c>
      <c r="CX28" s="34">
        <f>SUMIF('Rig 305'!$B:$B,Lists!$A$18,'Rig 305'!$F:$F)</f>
        <v>0</v>
      </c>
      <c r="CY28" s="34">
        <f>SUMIF('Rig 305'!$B:$B,Lists!$A$18,'Rig 305'!$G:$G)</f>
        <v>0</v>
      </c>
      <c r="CZ28" s="34">
        <f>SUMIF('Rig 305'!$B:$B,Lists!$A$18,'Rig 305'!$H:$H)</f>
        <v>0</v>
      </c>
      <c r="DA28" s="34">
        <f>SUMIF('Rig 305'!$B:$B,Lists!$A$18,'Rig 305'!$I:$I)</f>
        <v>0</v>
      </c>
      <c r="DB28" s="34">
        <f>SUMIF('Rig 305'!$B:$B,Lists!$A$19,'Rig 305'!$C:$C)</f>
        <v>0</v>
      </c>
      <c r="DC28" s="34">
        <f>SUMIF('Rig 305'!$B:$B,Lists!$A$19,'Rig 305'!$E:$E)</f>
        <v>57</v>
      </c>
      <c r="DD28" s="34">
        <f>SUMIF('Rig 305'!$B:$B,Lists!$A$19,'Rig 305'!$F:$F)</f>
        <v>0</v>
      </c>
      <c r="DE28" s="34">
        <f>SUMIF('Rig 305'!$B:$B,Lists!$A$19,'Rig 305'!$G:$G)</f>
        <v>0</v>
      </c>
      <c r="DF28" s="34">
        <f>SUMIF('Rig 305'!$B:$B,Lists!$A$19,'Rig 305'!$H:$H)</f>
        <v>0</v>
      </c>
      <c r="DG28" s="34">
        <f>SUMIF('Rig 305'!$B:$B,Lists!$A$19,'Rig 305'!$I:$I)</f>
        <v>0</v>
      </c>
      <c r="DH28" s="34">
        <f>SUMIF('Rig 305'!$B:$B,Lists!$A$20,'Rig 305'!$C:$C)</f>
        <v>30</v>
      </c>
      <c r="DI28" s="34">
        <f>SUMIF('Rig 305'!$B:$B,Lists!$A$20,'Rig 305'!$E:$E)</f>
        <v>0</v>
      </c>
      <c r="DJ28" s="34">
        <f>SUMIF('Rig 305'!$B:$B,Lists!$A$20,'Rig 305'!$F:$F)</f>
        <v>0</v>
      </c>
      <c r="DK28" s="34">
        <f>SUMIF('Rig 305'!$B:$B,Lists!$A$20,'Rig 305'!$G:$G)</f>
        <v>0</v>
      </c>
      <c r="DL28" s="34">
        <f>SUMIF('Rig 305'!$B:$B,Lists!$A$20,'Rig 305'!$H:$H)</f>
        <v>0</v>
      </c>
      <c r="DM28" s="34">
        <f>SUMIF('Rig 305'!$B:$B,Lists!$A$20,'Rig 305'!$I:$I)</f>
        <v>0</v>
      </c>
      <c r="DN28" s="34">
        <f>SUMIF('Rig 305'!$B:$B,Lists!$A$21,'Rig 305'!$C:$C)</f>
        <v>0</v>
      </c>
      <c r="DO28" s="34">
        <f>SUMIF('Rig 305'!$B:$B,Lists!$A$21,'Rig 305'!$E:$E)</f>
        <v>4</v>
      </c>
      <c r="DP28" s="34">
        <f>SUMIF('Rig 305'!$B:$B,Lists!$A$21,'Rig 305'!$F:$F)</f>
        <v>0</v>
      </c>
      <c r="DQ28" s="34">
        <f>SUMIF('Rig 305'!$B:$B,Lists!$A$21,'Rig 305'!$G:$G)</f>
        <v>0</v>
      </c>
      <c r="DR28" s="34">
        <f>SUMIF('Rig 305'!$B:$B,Lists!$A$21,'Rig 305'!$H:$H)</f>
        <v>0</v>
      </c>
      <c r="DS28" s="34">
        <f>SUMIF('Rig 305'!$B:$B,Lists!$A$21,'Rig 305'!$I:$I)</f>
        <v>0</v>
      </c>
      <c r="DT28" s="34">
        <f>SUMIF('Rig 305'!$B:$B,Lists!$A$22,'Rig 305'!$C:$C)</f>
        <v>3</v>
      </c>
      <c r="DU28" s="34">
        <f>SUMIF('Rig 305'!$B:$B,Lists!$A$22,'Rig 305'!$E:$E)</f>
        <v>0</v>
      </c>
      <c r="DV28" s="34">
        <f>SUMIF('Rig 305'!$B:$B,Lists!$A$22,'Rig 305'!$F:$F)</f>
        <v>0</v>
      </c>
      <c r="DW28" s="34">
        <f>SUMIF('Rig 305'!$B:$B,Lists!$A$22,'Rig 305'!$G:$G)</f>
        <v>0</v>
      </c>
      <c r="DX28" s="34">
        <f>SUMIF('Rig 305'!$B:$B,Lists!$A$22,'Rig 305'!$H:$H)</f>
        <v>0</v>
      </c>
      <c r="DY28" s="34">
        <f>SUMIF('Rig 305'!$B:$B,Lists!$A$22,'Rig 305'!$I:$I)</f>
        <v>0</v>
      </c>
      <c r="DZ28" s="34">
        <f>SUMIF('Rig 305'!$B:$B,Lists!$A$23,'Rig 305'!$C:$C)</f>
        <v>0</v>
      </c>
      <c r="EA28" s="34">
        <f>SUMIF('Rig 305'!$B:$B,Lists!$A$23,'Rig 305'!$E:$E)</f>
        <v>17</v>
      </c>
      <c r="EB28" s="34">
        <f>SUMIF('Rig 305'!$B:$B,Lists!$A$23,'Rig 305'!$F:$F)</f>
        <v>0</v>
      </c>
      <c r="EC28" s="34">
        <f>SUMIF('Rig 305'!$B:$B,Lists!$A$23,'Rig 305'!$G:$G)</f>
        <v>0</v>
      </c>
      <c r="ED28" s="34">
        <f>SUMIF('Rig 305'!$B:$B,Lists!$A$23,'Rig 305'!$H:$H)</f>
        <v>0</v>
      </c>
      <c r="EE28" s="34">
        <f>SUMIF('Rig 305'!$B:$B,Lists!$A$23,'Rig 305'!$I:$I)</f>
        <v>0</v>
      </c>
      <c r="EF28" s="34">
        <f>SUMIF('Rig 305'!$B:$B,Lists!$A$24,'Rig 305'!$C:$C)</f>
        <v>15</v>
      </c>
      <c r="EG28" s="34">
        <f>SUMIF('Rig 305'!$B:$B,Lists!$A$24,'Rig 305'!$E:$E)</f>
        <v>0</v>
      </c>
      <c r="EH28" s="34">
        <f>SUMIF('Rig 305'!$B:$B,Lists!$A$24,'Rig 305'!$F:$F)</f>
        <v>0</v>
      </c>
      <c r="EI28" s="34">
        <f>SUMIF('Rig 305'!$B:$B,Lists!$A$24,'Rig 305'!$G:$G)</f>
        <v>0</v>
      </c>
      <c r="EJ28" s="34">
        <f>SUMIF('Rig 305'!$B:$B,Lists!$A$24,'Rig 305'!$H:$H)</f>
        <v>0</v>
      </c>
      <c r="EK28" s="34">
        <f>SUMIF('Rig 305'!$B:$B,Lists!$A$24,'Rig 305'!$I:$I)</f>
        <v>0</v>
      </c>
      <c r="EL28" s="34">
        <f>SUMIF('Rig 305'!$B:$B,Lists!$A$25,'Rig 305'!$C:$C)</f>
        <v>0</v>
      </c>
      <c r="EM28" s="34">
        <f>SUMIF('Rig 305'!$B:$B,Lists!$A$25,'Rig 305'!$E:$E)</f>
        <v>0</v>
      </c>
      <c r="EN28" s="34">
        <f>SUMIF('Rig 305'!$B:$B,Lists!$A$25,'Rig 305'!$F:$F)</f>
        <v>0</v>
      </c>
      <c r="EO28" s="34">
        <f>SUMIF('Rig 305'!$B:$B,Lists!$A$25,'Rig 305'!$G:$G)</f>
        <v>0</v>
      </c>
      <c r="EP28" s="34">
        <f>SUMIF('Rig 305'!$B:$B,Lists!$A$25,'Rig 305'!$H:$H)</f>
        <v>0</v>
      </c>
      <c r="EQ28" s="34">
        <f>SUMIF('Rig 305'!$B:$B,Lists!$A$25,'Rig 305'!$I:$I)</f>
        <v>0</v>
      </c>
      <c r="ER28" s="34">
        <f>SUMIF('Rig 305'!$B:$B,Lists!$A$26,'Rig 305'!$C:$C)</f>
        <v>0</v>
      </c>
      <c r="ES28" s="34">
        <f>SUMIF('Rig 305'!$B:$B,Lists!$A$26,'Rig 305'!$E:$E)</f>
        <v>0</v>
      </c>
      <c r="ET28" s="34">
        <f>SUMIF('Rig 305'!$B:$B,Lists!$A$26,'Rig 305'!$F:$F)</f>
        <v>0</v>
      </c>
      <c r="EU28" s="34">
        <f>SUMIF('Rig 305'!$B:$B,Lists!$A$26,'Rig 305'!$G:$G)</f>
        <v>0</v>
      </c>
      <c r="EV28" s="34">
        <f>SUMIF('Rig 305'!$B:$B,Lists!$A$26,'Rig 305'!$H:$H)</f>
        <v>0</v>
      </c>
      <c r="EW28" s="34">
        <f>SUMIF('Rig 305'!$B:$B,Lists!$A$26,'Rig 305'!$I:$I)</f>
        <v>0</v>
      </c>
      <c r="EX28" s="34">
        <f>SUMIF('Rig 305'!$B:$B,Lists!$A$27,'Rig 305'!$C:$C)</f>
        <v>0</v>
      </c>
      <c r="EY28" s="34">
        <f>SUMIF('Rig 305'!$B:$B,Lists!$A$27,'Rig 305'!$E:$E)</f>
        <v>24</v>
      </c>
      <c r="EZ28" s="34">
        <f>SUMIF('Rig 305'!$B:$B,Lists!$A$27,'Rig 305'!$F:$F)</f>
        <v>0</v>
      </c>
      <c r="FA28" s="34">
        <f>SUMIF('Rig 305'!$B:$B,Lists!$A$27,'Rig 305'!$G:$G)</f>
        <v>0</v>
      </c>
      <c r="FB28" s="34">
        <f>SUMIF('Rig 305'!$B:$B,Lists!$A$27,'Rig 305'!$H:$H)</f>
        <v>0</v>
      </c>
      <c r="FC28" s="34">
        <f>SUMIF('Rig 305'!$B:$B,Lists!$A$27,'Rig 305'!$I:$I)</f>
        <v>0</v>
      </c>
      <c r="FD28" s="34">
        <f>SUMIF('Rig 305'!$B:$B,Lists!$A$28,'Rig 305'!$C:$C)</f>
        <v>31</v>
      </c>
      <c r="FE28" s="34">
        <f>SUMIF('Rig 305'!$B:$B,Lists!$A$28,'Rig 305'!$E:$E)</f>
        <v>12</v>
      </c>
      <c r="FF28" s="34">
        <f>SUMIF('Rig 305'!$B:$B,Lists!$A$28,'Rig 305'!$F:$F)</f>
        <v>0</v>
      </c>
      <c r="FG28" s="34">
        <f>SUMIF('Rig 305'!$B:$B,Lists!$A$28,'Rig 305'!$G:$G)</f>
        <v>0</v>
      </c>
      <c r="FH28" s="34">
        <f>SUMIF('Rig 305'!$B:$B,Lists!$A$28,'Rig 305'!$H:$H)</f>
        <v>0</v>
      </c>
      <c r="FI28" s="34">
        <f>SUMIF('Rig 305'!$B:$B,Lists!$A$28,'Rig 305'!$I:$I)</f>
        <v>0</v>
      </c>
      <c r="FJ28" s="34">
        <f>SUMIF('Rig 305'!$B:$B,Lists!$A$29,'Rig 305'!$C:$C)</f>
        <v>30</v>
      </c>
      <c r="FK28" s="34">
        <f>SUMIF('Rig 305'!$B:$B,Lists!$A$29,'Rig 305'!$E:$E)</f>
        <v>0</v>
      </c>
      <c r="FL28" s="34">
        <f>SUMIF('Rig 305'!$B:$B,Lists!$A$29,'Rig 305'!$F:$F)</f>
        <v>0</v>
      </c>
      <c r="FM28" s="34">
        <f>SUMIF('Rig 305'!$B:$B,Lists!$A$29,'Rig 305'!$G:$G)</f>
        <v>0</v>
      </c>
      <c r="FN28" s="34">
        <f>SUMIF('Rig 305'!$B:$B,Lists!$A$29,'Rig 305'!$H:$H)</f>
        <v>0</v>
      </c>
      <c r="FO28" s="34">
        <f>SUMIF('Rig 305'!$B:$B,Lists!$A$29,'Rig 305'!$I:$I)</f>
        <v>0</v>
      </c>
      <c r="FP28" s="34">
        <f>SUMIF('Rig 305'!$B:$B,Lists!$A$30,'Rig 305'!$C:$C)</f>
        <v>4</v>
      </c>
      <c r="FQ28" s="34">
        <f>SUMIF('Rig 305'!$B:$B,Lists!$A$30,'Rig 305'!$E:$E)</f>
        <v>0</v>
      </c>
      <c r="FR28" s="34">
        <f>SUMIF('Rig 305'!$B:$B,Lists!$A$30,'Rig 305'!$F:$F)</f>
        <v>0</v>
      </c>
      <c r="FS28" s="34">
        <f>SUMIF('Rig 305'!$B:$B,Lists!$A$30,'Rig 305'!$G:$G)</f>
        <v>0</v>
      </c>
      <c r="FT28" s="34">
        <f>SUMIF('Rig 305'!$B:$B,Lists!$A$30,'Rig 305'!$H:$H)</f>
        <v>0</v>
      </c>
      <c r="FU28" s="34">
        <f>SUMIF('Rig 305'!$B:$B,Lists!$A$30,'Rig 305'!$I:$I)</f>
        <v>0</v>
      </c>
      <c r="FV28" s="34">
        <f>SUMIF('Rig 305'!$B:$B,Lists!$A$31,'Rig 305'!$C:$C)</f>
        <v>0</v>
      </c>
      <c r="FW28" s="34">
        <f>SUMIF('Rig 305'!$B:$B,Lists!$A$31,'Rig 305'!$E:$E)</f>
        <v>0</v>
      </c>
      <c r="FX28" s="34">
        <f>SUMIF('Rig 305'!$B:$B,Lists!$A$31,'Rig 305'!$F:$F)</f>
        <v>0</v>
      </c>
      <c r="FY28" s="34">
        <f>SUMIF('Rig 305'!$B:$B,Lists!$A$31,'Rig 305'!$G:$G)</f>
        <v>0</v>
      </c>
      <c r="FZ28" s="34">
        <f>SUMIF('Rig 305'!$B:$B,Lists!$A$31,'Rig 305'!$H:$H)</f>
        <v>0</v>
      </c>
      <c r="GA28" s="34">
        <f>SUMIF('Rig 305'!$B:$B,Lists!$A$31,'Rig 305'!$I:$I)</f>
        <v>0</v>
      </c>
      <c r="GB28" s="34">
        <f>SUMIF('Rig 305'!$B:$B,Lists!$A$32,'Rig 305'!$C:$C)</f>
        <v>0</v>
      </c>
      <c r="GC28" s="34">
        <f>SUMIF('Rig 305'!$B:$B,Lists!$A$32,'Rig 305'!$E:$E)</f>
        <v>0</v>
      </c>
      <c r="GD28" s="34">
        <f>SUMIF('Rig 305'!$B:$B,Lists!$A$32,'Rig 305'!$F:$F)</f>
        <v>0</v>
      </c>
      <c r="GE28" s="34">
        <f>SUMIF('Rig 305'!$B:$B,Lists!$A$32,'Rig 305'!$G:$G)</f>
        <v>0</v>
      </c>
      <c r="GF28" s="34">
        <f>SUMIF('Rig 305'!$B:$B,Lists!$A$32,'Rig 305'!$H:$H)</f>
        <v>0</v>
      </c>
      <c r="GG28" s="34">
        <f>SUMIF('Rig 305'!$B:$B,Lists!$A$32,'Rig 305'!$I:$I)</f>
        <v>0</v>
      </c>
      <c r="GH28" s="34">
        <f>SUMIF('Rig 305'!$B:$B,Lists!$A$33,'Rig 305'!$C:$C)</f>
        <v>0</v>
      </c>
      <c r="GI28" s="34">
        <f>SUMIF('Rig 305'!$B:$B,Lists!$A$33,'Rig 305'!$E:$E)</f>
        <v>0</v>
      </c>
      <c r="GJ28" s="34">
        <f>SUMIF('Rig 305'!$B:$B,Lists!$A$33,'Rig 305'!$F:$F)</f>
        <v>0</v>
      </c>
      <c r="GK28" s="34">
        <f>SUMIF('Rig 305'!$B:$B,Lists!$A$33,'Rig 305'!$G:$G)</f>
        <v>0</v>
      </c>
      <c r="GL28" s="34">
        <f>SUMIF('Rig 305'!$B:$B,Lists!$A$33,'Rig 305'!$H:$H)</f>
        <v>0</v>
      </c>
      <c r="GM28" s="34">
        <f>SUMIF('Rig 305'!$B:$B,Lists!$A$33,'Rig 305'!$I:$I)</f>
        <v>0</v>
      </c>
      <c r="GN28" s="34">
        <f>SUMIF('Rig 305'!$B:$B,Lists!$A$34,'Rig 305'!$C:$C)</f>
        <v>0</v>
      </c>
      <c r="GO28" s="34">
        <f>SUMIF('Rig 305'!$B:$B,Lists!$A$34,'Rig 305'!$E:$E)</f>
        <v>0</v>
      </c>
      <c r="GP28" s="34">
        <f>SUMIF('Rig 305'!$B:$B,Lists!$A$34,'Rig 305'!$F:$F)</f>
        <v>0</v>
      </c>
      <c r="GQ28" s="34">
        <f>SUMIF('Rig 305'!$B:$B,Lists!$A$34,'Rig 305'!$G:$G)</f>
        <v>0</v>
      </c>
      <c r="GR28" s="34">
        <f>SUMIF('Rig 305'!$B:$B,Lists!$A$34,'Rig 305'!$H:$H)</f>
        <v>0</v>
      </c>
      <c r="GS28" s="34">
        <f>SUMIF('Rig 305'!$B:$B,Lists!$A$34,'Rig 305'!$I:$I)</f>
        <v>0</v>
      </c>
      <c r="GT28" s="34">
        <f>SUMIF('Rig 305'!$B:$B,Lists!$A$35,'Rig 305'!$C:$C)</f>
        <v>0</v>
      </c>
      <c r="GU28" s="34">
        <f>SUMIF('Rig 305'!$B:$B,Lists!$A$35,'Rig 305'!$E:$E)</f>
        <v>0</v>
      </c>
      <c r="GV28" s="34">
        <f>SUMIF('Rig 305'!$B:$B,Lists!$A$35,'Rig 305'!$F:$F)</f>
        <v>0</v>
      </c>
      <c r="GW28" s="34">
        <f>SUMIF('Rig 305'!$B:$B,Lists!$A$35,'Rig 305'!$G:$G)</f>
        <v>0</v>
      </c>
      <c r="GX28" s="34">
        <f>SUMIF('Rig 305'!$B:$B,Lists!$A$35,'Rig 305'!$H:$H)</f>
        <v>0</v>
      </c>
      <c r="GY28" s="34">
        <f>SUMIF('Rig 305'!$B:$B,Lists!$A$35,'Rig 305'!$I:$I)</f>
        <v>0</v>
      </c>
      <c r="GZ28" s="34">
        <f>SUMIF('Rig 305'!$B:$B,Lists!$A$36,'Rig 305'!$C:$C)</f>
        <v>0</v>
      </c>
      <c r="HA28" s="34">
        <f>SUMIF('Rig 305'!$B:$B,Lists!$A$36,'Rig 305'!$E:$E)</f>
        <v>0</v>
      </c>
      <c r="HB28" s="34">
        <f>SUMIF('Rig 305'!$B:$B,Lists!$A$36,'Rig 305'!$F:$F)</f>
        <v>0</v>
      </c>
      <c r="HC28" s="34">
        <f>SUMIF('Rig 305'!$B:$B,Lists!$A$36,'Rig 305'!$G:$G)</f>
        <v>0</v>
      </c>
      <c r="HD28" s="34">
        <f>SUMIF('Rig 305'!$B:$B,Lists!$A$36,'Rig 305'!$H:$H)</f>
        <v>0</v>
      </c>
      <c r="HE28" s="34">
        <f>SUMIF('Rig 305'!$B:$B,Lists!$A$36,'Rig 305'!$I:$I)</f>
        <v>0</v>
      </c>
      <c r="HF28" s="34">
        <f>SUMIF('Rig 305'!$B:$B,Lists!$A$37,'Rig 305'!$C:$C)</f>
        <v>0</v>
      </c>
      <c r="HG28" s="34">
        <f>SUMIF('Rig 305'!$B:$B,Lists!$A$37,'Rig 305'!$E:$E)</f>
        <v>0</v>
      </c>
      <c r="HH28" s="34">
        <f>SUMIF('Rig 305'!$B:$B,Lists!$A$37,'Rig 305'!$F:$F)</f>
        <v>0</v>
      </c>
      <c r="HI28" s="34">
        <f>SUMIF('Rig 305'!$B:$B,Lists!$A$37,'Rig 305'!$G:$G)</f>
        <v>0</v>
      </c>
      <c r="HJ28" s="34">
        <f>SUMIF('Rig 305'!$B:$B,Lists!$A$37,'Rig 305'!$H:$H)</f>
        <v>0</v>
      </c>
      <c r="HK28" s="34">
        <f>SUMIF('Rig 305'!$B:$B,Lists!$A$37,'Rig 305'!$I:$I)</f>
        <v>0</v>
      </c>
      <c r="HL28" s="34">
        <f>SUMIF('Rig 305'!$B:$B,Lists!$A$38,'Rig 305'!$C:$C)</f>
        <v>0</v>
      </c>
      <c r="HM28" s="34">
        <f>SUMIF('Rig 305'!$B:$B,Lists!$A$38,'Rig 305'!$E:$E)</f>
        <v>0</v>
      </c>
      <c r="HN28" s="34">
        <f>SUMIF('Rig 305'!$B:$B,Lists!$A$38,'Rig 305'!$F:$F)</f>
        <v>0</v>
      </c>
      <c r="HO28" s="34">
        <f>SUMIF('Rig 305'!$B:$B,Lists!$A$38,'Rig 305'!$G:$G)</f>
        <v>0</v>
      </c>
      <c r="HP28" s="34">
        <f>SUMIF('Rig 305'!$B:$B,Lists!$A$38,'Rig 305'!$H:$H)</f>
        <v>0</v>
      </c>
      <c r="HQ28" s="34">
        <f>SUMIF('Rig 305'!$B:$B,Lists!$A$38,'Rig 305'!$I:$I)</f>
        <v>0</v>
      </c>
      <c r="HR28" s="34">
        <f>SUMIF('Rig 305'!$B:$B,Lists!$A$39,'Rig 305'!$C:$C)</f>
        <v>4</v>
      </c>
      <c r="HS28" s="34">
        <f>SUMIF('Rig 305'!$B:$B,Lists!$A$39,'Rig 305'!$E:$E)</f>
        <v>0</v>
      </c>
      <c r="HT28" s="34">
        <f>SUMIF('Rig 305'!$B:$B,Lists!$A$39,'Rig 305'!$F:$F)</f>
        <v>0</v>
      </c>
      <c r="HU28" s="34">
        <f>SUMIF('Rig 305'!$B:$B,Lists!$A$39,'Rig 305'!$G:$G)</f>
        <v>0</v>
      </c>
      <c r="HV28" s="34">
        <f>SUMIF('Rig 305'!$B:$B,Lists!$A$39,'Rig 305'!$H:$H)</f>
        <v>0</v>
      </c>
      <c r="HW28" s="34">
        <f>SUMIF('Rig 305'!$B:$B,Lists!$A$39,'Rig 305'!$I:$I)</f>
        <v>0</v>
      </c>
      <c r="HX28" s="34">
        <f>SUMIF('Rig 305'!$B:$B,Lists!$A$40,'Rig 305'!$C:$C)</f>
        <v>0</v>
      </c>
      <c r="HY28" s="34">
        <f>SUMIF('Rig 305'!$B:$B,Lists!$A$40,'Rig 305'!$E:$E)</f>
        <v>0</v>
      </c>
      <c r="HZ28" s="34">
        <f>SUMIF('Rig 305'!$B:$B,Lists!$A$40,'Rig 305'!$F:$F)</f>
        <v>0</v>
      </c>
      <c r="IA28" s="34">
        <f>SUMIF('Rig 305'!$B:$B,Lists!$A$40,'Rig 305'!$G:$G)</f>
        <v>0</v>
      </c>
      <c r="IB28" s="34">
        <f>SUMIF('Rig 305'!$B:$B,Lists!$A$40,'Rig 305'!$H:$H)</f>
        <v>0</v>
      </c>
      <c r="IC28" s="34">
        <f>SUMIF('Rig 305'!$B:$B,Lists!$A$40,'Rig 305'!$I:$I)</f>
        <v>0</v>
      </c>
      <c r="ID28" s="34">
        <f>SUMIF('Rig 305'!$B:$B,Lists!$A$41,'Rig 305'!$C:$C)</f>
        <v>0</v>
      </c>
      <c r="IE28" s="34">
        <f>SUMIF('Rig 305'!$B:$B,Lists!$A$41,'Rig 305'!$E:$E)</f>
        <v>0</v>
      </c>
      <c r="IF28" s="34">
        <f>SUMIF('Rig 305'!$B:$B,Lists!$A$41,'Rig 305'!$F:$F)</f>
        <v>0</v>
      </c>
      <c r="IG28" s="34">
        <f>SUMIF('Rig 305'!$B:$B,Lists!$A$41,'Rig 305'!$G:$G)</f>
        <v>0</v>
      </c>
      <c r="IH28" s="34">
        <f>SUMIF('Rig 305'!$B:$B,Lists!$A$41,'Rig 305'!$H:$H)</f>
        <v>0</v>
      </c>
      <c r="II28" s="34">
        <f>SUMIF('Rig 305'!$B:$B,Lists!$A$41,'Rig 305'!$I:$I)</f>
        <v>0</v>
      </c>
    </row>
    <row r="29" spans="1:243" ht="19.5" customHeight="1" x14ac:dyDescent="0.3">
      <c r="A29" s="35" t="s">
        <v>100</v>
      </c>
      <c r="B29" s="36">
        <f>'Rig 306'!D2</f>
        <v>46173</v>
      </c>
      <c r="C29" s="37" t="s">
        <v>77</v>
      </c>
      <c r="D29" s="38">
        <f>SUMIF('Rig 306'!$B:$B,Lists!$A$2,'Rig 306'!$C:$C)</f>
        <v>0</v>
      </c>
      <c r="E29" s="38">
        <f>SUMIF('Rig 306'!$B:$B,Lists!$A$2,'Rig 306'!$E:$E)</f>
        <v>0</v>
      </c>
      <c r="F29" s="38">
        <f>SUMIF('Rig 306'!$B:$B,Lists!$A$2,'Rig 306'!$F:$F)</f>
        <v>0</v>
      </c>
      <c r="G29" s="38">
        <f>SUMIF('Rig 306'!$B:$B,Lists!$A$2,'Rig 306'!$G:$G)</f>
        <v>0</v>
      </c>
      <c r="H29" s="38">
        <f>SUMIF('Rig 306'!$B:$B,Lists!$A$2,'Rig 306'!$H:$H)</f>
        <v>0</v>
      </c>
      <c r="I29" s="38">
        <f>SUMIF('Rig 306'!$B:$B,Lists!$A$2,'Rig 306'!$I:$I)</f>
        <v>0</v>
      </c>
      <c r="J29" s="38">
        <f>SUMIF('Rig 306'!$B:$B,Lists!$A$3,'Rig 306'!$C:$C)</f>
        <v>0</v>
      </c>
      <c r="K29" s="38">
        <f>SUMIF('Rig 306'!$B:$B,Lists!$A$3,'Rig 306'!$E:$E)</f>
        <v>100</v>
      </c>
      <c r="L29" s="38">
        <f>SUMIF('Rig 306'!$B:$B,Lists!$A$3,'Rig 306'!$F:$F)</f>
        <v>0</v>
      </c>
      <c r="M29" s="38">
        <f>SUMIF('Rig 306'!$B:$B,Lists!$A$3,'Rig 306'!$G:$G)</f>
        <v>0</v>
      </c>
      <c r="N29" s="38">
        <f>SUMIF('Rig 306'!$B:$B,Lists!$A$3,'Rig 306'!$H:$H)</f>
        <v>0</v>
      </c>
      <c r="O29" s="38">
        <f>SUMIF('Rig 306'!$B:$B,Lists!$A$3,'Rig 306'!$I:$I)</f>
        <v>7</v>
      </c>
      <c r="P29" s="38">
        <f>SUMIF('Rig 306'!$B:$B,Lists!$A$4,'Rig 306'!$C:$C)</f>
        <v>0</v>
      </c>
      <c r="Q29" s="38">
        <f>SUMIF('Rig 306'!$B:$B,Lists!$A$4,'Rig 306'!$E:$E)</f>
        <v>0</v>
      </c>
      <c r="R29" s="38">
        <f>SUMIF('Rig 306'!$B:$B,Lists!$A$4,'Rig 306'!$F:$F)</f>
        <v>0</v>
      </c>
      <c r="S29" s="38">
        <f>SUMIF('Rig 306'!$B:$B,Lists!$A$4,'Rig 306'!$G:$G)</f>
        <v>0</v>
      </c>
      <c r="T29" s="38">
        <f>SUMIF('Rig 306'!$B:$B,Lists!$A$4,'Rig 306'!$H:$H)</f>
        <v>0</v>
      </c>
      <c r="U29" s="38">
        <f>SUMIF('Rig 306'!$B:$B,Lists!$A$4,'Rig 306'!$I:$I)</f>
        <v>0</v>
      </c>
      <c r="V29" s="38">
        <f>SUMIF('Rig 306'!$B:$B,Lists!$A$5,'Rig 306'!$C:$C)</f>
        <v>0</v>
      </c>
      <c r="W29" s="38">
        <f>SUMIF('Rig 306'!$B:$B,Lists!$A$5,'Rig 306'!$E:$E)</f>
        <v>0</v>
      </c>
      <c r="X29" s="38">
        <f>SUMIF('Rig 306'!$B:$B,Lists!$A$5,'Rig 306'!$F:$F)</f>
        <v>0</v>
      </c>
      <c r="Y29" s="38">
        <f>SUMIF('Rig 306'!$B:$B,Lists!$A$5,'Rig 306'!$G:$G)</f>
        <v>0</v>
      </c>
      <c r="Z29" s="38">
        <f>SUMIF('Rig 306'!$B:$B,Lists!$A$5,'Rig 306'!$H:$H)</f>
        <v>0</v>
      </c>
      <c r="AA29" s="38">
        <f>SUMIF('Rig 306'!$B:$B,Lists!$A$5,'Rig 306'!$I:$I)</f>
        <v>0</v>
      </c>
      <c r="AB29" s="38">
        <f>SUMIF('Rig 306'!$B:$B,Lists!$A$6,'Rig 306'!$C:$C)</f>
        <v>0</v>
      </c>
      <c r="AC29" s="38">
        <f>SUMIF('Rig 306'!$B:$B,Lists!$A$6,'Rig 306'!$E:$E)</f>
        <v>0</v>
      </c>
      <c r="AD29" s="38">
        <f>SUMIF('Rig 306'!$B:$B,Lists!$A$6,'Rig 306'!$F:$F)</f>
        <v>0</v>
      </c>
      <c r="AE29" s="38">
        <f>SUMIF('Rig 306'!$B:$B,Lists!$A$6,'Rig 306'!$G:$G)</f>
        <v>0</v>
      </c>
      <c r="AF29" s="38">
        <f>SUMIF('Rig 306'!$B:$B,Lists!$A$6,'Rig 306'!$H:$H)</f>
        <v>0</v>
      </c>
      <c r="AG29" s="38">
        <f>SUMIF('Rig 306'!$B:$B,Lists!$A$6,'Rig 306'!$I:$I)</f>
        <v>0</v>
      </c>
      <c r="AH29" s="38">
        <f>SUMIF('Rig 306'!$B:$B,Lists!$A$7,'Rig 306'!$C:$C)</f>
        <v>0</v>
      </c>
      <c r="AI29" s="38">
        <f>SUMIF('Rig 306'!$B:$B,Lists!$A$7,'Rig 306'!$E:$E)</f>
        <v>0</v>
      </c>
      <c r="AJ29" s="38">
        <f>SUMIF('Rig 306'!$B:$B,Lists!$A$7,'Rig 306'!$F:$F)</f>
        <v>0</v>
      </c>
      <c r="AK29" s="38">
        <f>SUMIF('Rig 306'!$B:$B,Lists!$A$7,'Rig 306'!$G:$G)</f>
        <v>0</v>
      </c>
      <c r="AL29" s="38">
        <f>SUMIF('Rig 306'!$B:$B,Lists!$A$7,'Rig 306'!$H:$H)</f>
        <v>0</v>
      </c>
      <c r="AM29" s="38">
        <f>SUMIF('Rig 306'!$B:$B,Lists!$A$7,'Rig 306'!$I:$I)</f>
        <v>0</v>
      </c>
      <c r="AN29" s="38">
        <f>SUMIF('Rig 306'!$B:$B,Lists!$A$8,'Rig 306'!$C:$C)</f>
        <v>0</v>
      </c>
      <c r="AO29" s="38">
        <f>SUMIF('Rig 306'!$B:$B,Lists!$A$8,'Rig 306'!$E:$E)</f>
        <v>0</v>
      </c>
      <c r="AP29" s="38">
        <f>SUMIF('Rig 306'!$B:$B,Lists!$A$8,'Rig 306'!$F:$F)</f>
        <v>0</v>
      </c>
      <c r="AQ29" s="38">
        <f>SUMIF('Rig 306'!$B:$B,Lists!$A$8,'Rig 306'!$G:$G)</f>
        <v>0</v>
      </c>
      <c r="AR29" s="38">
        <f>SUMIF('Rig 306'!$B:$B,Lists!$A$8,'Rig 306'!$H:$H)</f>
        <v>0</v>
      </c>
      <c r="AS29" s="38">
        <f>SUMIF('Rig 306'!$B:$B,Lists!$A$8,'Rig 306'!$I:$I)</f>
        <v>0</v>
      </c>
      <c r="AT29" s="38">
        <f>SUMIF('Rig 306'!$B:$B,Lists!$A$9,'Rig 306'!$C:$C)</f>
        <v>0</v>
      </c>
      <c r="AU29" s="38">
        <f>SUMIF('Rig 306'!$B:$B,Lists!$A$9,'Rig 306'!$E:$E)</f>
        <v>0</v>
      </c>
      <c r="AV29" s="38">
        <f>SUMIF('Rig 306'!$B:$B,Lists!$A$9,'Rig 306'!$F:$F)</f>
        <v>0</v>
      </c>
      <c r="AW29" s="38">
        <f>SUMIF('Rig 306'!$B:$B,Lists!$A$9,'Rig 306'!$G:$G)</f>
        <v>0</v>
      </c>
      <c r="AX29" s="38">
        <f>SUMIF('Rig 306'!$B:$B,Lists!$A$9,'Rig 306'!$H:$H)</f>
        <v>0</v>
      </c>
      <c r="AY29" s="38">
        <f>SUMIF('Rig 306'!$B:$B,Lists!$A$9,'Rig 306'!$I:$I)</f>
        <v>0</v>
      </c>
      <c r="AZ29" s="38">
        <f>SUMIF('Rig 306'!$B:$B,Lists!$A$10,'Rig 306'!$C:$C)</f>
        <v>0</v>
      </c>
      <c r="BA29" s="38">
        <f>SUMIF('Rig 306'!$B:$B,Lists!$A$10,'Rig 306'!$E:$E)</f>
        <v>0</v>
      </c>
      <c r="BB29" s="38">
        <f>SUMIF('Rig 306'!$B:$B,Lists!$A$10,'Rig 306'!$F:$F)</f>
        <v>0</v>
      </c>
      <c r="BC29" s="38">
        <f>SUMIF('Rig 306'!$B:$B,Lists!$A$10,'Rig 306'!$G:$G)</f>
        <v>0</v>
      </c>
      <c r="BD29" s="38">
        <f>SUMIF('Rig 306'!$B:$B,Lists!$A$10,'Rig 306'!$H:$H)</f>
        <v>0</v>
      </c>
      <c r="BE29" s="38">
        <f>SUMIF('Rig 306'!$B:$B,Lists!$A$10,'Rig 306'!$I:$I)</f>
        <v>0</v>
      </c>
      <c r="BF29" s="38">
        <f>SUMIF('Rig 306'!$B:$B,Lists!$A$11,'Rig 306'!$C:$C)</f>
        <v>0</v>
      </c>
      <c r="BG29" s="38">
        <f>SUMIF('Rig 306'!$B:$B,Lists!$A$11,'Rig 306'!$E:$E)</f>
        <v>42</v>
      </c>
      <c r="BH29" s="38">
        <f>SUMIF('Rig 306'!$B:$B,Lists!$A$11,'Rig 306'!$F:$F)</f>
        <v>0</v>
      </c>
      <c r="BI29" s="38">
        <f>SUMIF('Rig 306'!$B:$B,Lists!$A$11,'Rig 306'!$G:$G)</f>
        <v>0</v>
      </c>
      <c r="BJ29" s="38">
        <f>SUMIF('Rig 306'!$B:$B,Lists!$A$11,'Rig 306'!$H:$H)</f>
        <v>0</v>
      </c>
      <c r="BK29" s="38">
        <f>SUMIF('Rig 306'!$B:$B,Lists!$A$11,'Rig 306'!$I:$I)</f>
        <v>54</v>
      </c>
      <c r="BL29" s="38">
        <f>SUMIF('Rig 306'!$B:$B,Lists!$A$12,'Rig 306'!$C:$C)</f>
        <v>0</v>
      </c>
      <c r="BM29" s="38">
        <f>SUMIF('Rig 306'!$B:$B,Lists!$A$12,'Rig 306'!$E:$E)</f>
        <v>47</v>
      </c>
      <c r="BN29" s="38">
        <f>SUMIF('Rig 306'!$B:$B,Lists!$A$12,'Rig 306'!$F:$F)</f>
        <v>0</v>
      </c>
      <c r="BO29" s="38">
        <f>SUMIF('Rig 306'!$B:$B,Lists!$A$12,'Rig 306'!$G:$G)</f>
        <v>0</v>
      </c>
      <c r="BP29" s="38">
        <f>SUMIF('Rig 306'!$B:$B,Lists!$A$12,'Rig 306'!$H:$H)</f>
        <v>0</v>
      </c>
      <c r="BQ29" s="38">
        <f>SUMIF('Rig 306'!$B:$B,Lists!$A$12,'Rig 306'!$I:$I)</f>
        <v>28</v>
      </c>
      <c r="BR29" s="38">
        <f>SUMIF('Rig 306'!$B:$B,Lists!$A$13,'Rig 306'!$C:$C)</f>
        <v>0</v>
      </c>
      <c r="BS29" s="38">
        <f>SUMIF('Rig 306'!$B:$B,Lists!$A$13,'Rig 306'!$E:$E)</f>
        <v>0</v>
      </c>
      <c r="BT29" s="38">
        <f>SUMIF('Rig 306'!$B:$B,Lists!$A$13,'Rig 306'!$F:$F)</f>
        <v>0</v>
      </c>
      <c r="BU29" s="38">
        <f>SUMIF('Rig 306'!$B:$B,Lists!$A$13,'Rig 306'!$G:$G)</f>
        <v>0</v>
      </c>
      <c r="BV29" s="38">
        <f>SUMIF('Rig 306'!$B:$B,Lists!$A$13,'Rig 306'!$H:$H)</f>
        <v>0</v>
      </c>
      <c r="BW29" s="38">
        <f>SUMIF('Rig 306'!$B:$B,Lists!$A$13,'Rig 306'!$I:$I)</f>
        <v>0</v>
      </c>
      <c r="BX29" s="38">
        <f>SUMIF('Rig 306'!$B:$B,Lists!$A$14,'Rig 306'!$C:$C)</f>
        <v>0</v>
      </c>
      <c r="BY29" s="38">
        <f>SUMIF('Rig 306'!$B:$B,Lists!$A$14,'Rig 306'!$E:$E)</f>
        <v>0</v>
      </c>
      <c r="BZ29" s="38">
        <f>SUMIF('Rig 306'!$B:$B,Lists!$A$14,'Rig 306'!$F:$F)</f>
        <v>0</v>
      </c>
      <c r="CA29" s="38">
        <f>SUMIF('Rig 306'!$B:$B,Lists!$A$14,'Rig 306'!$G:$G)</f>
        <v>0</v>
      </c>
      <c r="CB29" s="38">
        <f>SUMIF('Rig 306'!$B:$B,Lists!$A$14,'Rig 306'!$H:$H)</f>
        <v>0</v>
      </c>
      <c r="CC29" s="38">
        <f>SUMIF('Rig 306'!$B:$B,Lists!$A$14,'Rig 306'!$I:$I)</f>
        <v>0</v>
      </c>
      <c r="CD29" s="38">
        <f>SUMIF('Rig 306'!$B:$B,Lists!$A$15,'Rig 306'!$C:$C)</f>
        <v>0</v>
      </c>
      <c r="CE29" s="38">
        <f>SUMIF('Rig 306'!$B:$B,Lists!$A$15,'Rig 306'!$E:$E)</f>
        <v>0</v>
      </c>
      <c r="CF29" s="38">
        <f>SUMIF('Rig 306'!$B:$B,Lists!$A$15,'Rig 306'!$F:$F)</f>
        <v>0</v>
      </c>
      <c r="CG29" s="38">
        <f>SUMIF('Rig 306'!$B:$B,Lists!$A$15,'Rig 306'!$G:$G)</f>
        <v>0</v>
      </c>
      <c r="CH29" s="38">
        <f>SUMIF('Rig 306'!$B:$B,Lists!$A$15,'Rig 306'!$H:$H)</f>
        <v>0</v>
      </c>
      <c r="CI29" s="38">
        <f>SUMIF('Rig 306'!$B:$B,Lists!$A$15,'Rig 306'!$I:$I)</f>
        <v>0</v>
      </c>
      <c r="CJ29" s="38">
        <f>SUMIF('Rig 306'!$B:$B,Lists!$A$16,'Rig 306'!$C:$C)</f>
        <v>0</v>
      </c>
      <c r="CK29" s="38">
        <f>SUMIF('Rig 306'!$B:$B,Lists!$A$16,'Rig 306'!$E:$E)</f>
        <v>0</v>
      </c>
      <c r="CL29" s="38">
        <f>SUMIF('Rig 306'!$B:$B,Lists!$A$16,'Rig 306'!$F:$F)</f>
        <v>0</v>
      </c>
      <c r="CM29" s="38">
        <f>SUMIF('Rig 306'!$B:$B,Lists!$A$16,'Rig 306'!$G:$G)</f>
        <v>0</v>
      </c>
      <c r="CN29" s="38">
        <f>SUMIF('Rig 306'!$B:$B,Lists!$A$16,'Rig 306'!$H:$H)</f>
        <v>0</v>
      </c>
      <c r="CO29" s="38">
        <f>SUMIF('Rig 306'!$B:$B,Lists!$A$16,'Rig 306'!$I:$I)</f>
        <v>0</v>
      </c>
      <c r="CP29" s="38">
        <f>SUMIF('Rig 306'!$B:$B,Lists!$A$17,'Rig 306'!$C:$C)</f>
        <v>0</v>
      </c>
      <c r="CQ29" s="38">
        <f>SUMIF('Rig 306'!$B:$B,Lists!$A$17,'Rig 306'!$E:$E)</f>
        <v>0</v>
      </c>
      <c r="CR29" s="38">
        <f>SUMIF('Rig 306'!$B:$B,Lists!$A$17,'Rig 306'!$F:$F)</f>
        <v>0</v>
      </c>
      <c r="CS29" s="38">
        <f>SUMIF('Rig 306'!$B:$B,Lists!$A$17,'Rig 306'!$G:$G)</f>
        <v>0</v>
      </c>
      <c r="CT29" s="38">
        <f>SUMIF('Rig 306'!$B:$B,Lists!$A$17,'Rig 306'!$H:$H)</f>
        <v>0</v>
      </c>
      <c r="CU29" s="38">
        <f>SUMIF('Rig 306'!$B:$B,Lists!$A$17,'Rig 306'!$I:$I)</f>
        <v>0</v>
      </c>
      <c r="CV29" s="38">
        <f>SUMIF('Rig 306'!$B:$B,Lists!$A$18,'Rig 306'!$C:$C)</f>
        <v>0</v>
      </c>
      <c r="CW29" s="38">
        <f>SUMIF('Rig 306'!$B:$B,Lists!$A$18,'Rig 306'!$E:$E)</f>
        <v>0</v>
      </c>
      <c r="CX29" s="38">
        <f>SUMIF('Rig 306'!$B:$B,Lists!$A$18,'Rig 306'!$F:$F)</f>
        <v>0</v>
      </c>
      <c r="CY29" s="38">
        <f>SUMIF('Rig 306'!$B:$B,Lists!$A$18,'Rig 306'!$G:$G)</f>
        <v>0</v>
      </c>
      <c r="CZ29" s="38">
        <f>SUMIF('Rig 306'!$B:$B,Lists!$A$18,'Rig 306'!$H:$H)</f>
        <v>0</v>
      </c>
      <c r="DA29" s="38">
        <f>SUMIF('Rig 306'!$B:$B,Lists!$A$18,'Rig 306'!$I:$I)</f>
        <v>0</v>
      </c>
      <c r="DB29" s="38">
        <f>SUMIF('Rig 306'!$B:$B,Lists!$A$19,'Rig 306'!$C:$C)</f>
        <v>0</v>
      </c>
      <c r="DC29" s="38">
        <f>SUMIF('Rig 306'!$B:$B,Lists!$A$19,'Rig 306'!$E:$E)</f>
        <v>0</v>
      </c>
      <c r="DD29" s="38">
        <f>SUMIF('Rig 306'!$B:$B,Lists!$A$19,'Rig 306'!$F:$F)</f>
        <v>0</v>
      </c>
      <c r="DE29" s="38">
        <f>SUMIF('Rig 306'!$B:$B,Lists!$A$19,'Rig 306'!$G:$G)</f>
        <v>0</v>
      </c>
      <c r="DF29" s="38">
        <f>SUMIF('Rig 306'!$B:$B,Lists!$A$19,'Rig 306'!$H:$H)</f>
        <v>0</v>
      </c>
      <c r="DG29" s="38">
        <f>SUMIF('Rig 306'!$B:$B,Lists!$A$19,'Rig 306'!$I:$I)</f>
        <v>0</v>
      </c>
      <c r="DH29" s="38">
        <f>SUMIF('Rig 306'!$B:$B,Lists!$A$20,'Rig 306'!$C:$C)</f>
        <v>0</v>
      </c>
      <c r="DI29" s="38">
        <f>SUMIF('Rig 306'!$B:$B,Lists!$A$20,'Rig 306'!$E:$E)</f>
        <v>33</v>
      </c>
      <c r="DJ29" s="38">
        <f>SUMIF('Rig 306'!$B:$B,Lists!$A$20,'Rig 306'!$F:$F)</f>
        <v>0</v>
      </c>
      <c r="DK29" s="38">
        <f>SUMIF('Rig 306'!$B:$B,Lists!$A$20,'Rig 306'!$G:$G)</f>
        <v>0</v>
      </c>
      <c r="DL29" s="38">
        <f>SUMIF('Rig 306'!$B:$B,Lists!$A$20,'Rig 306'!$H:$H)</f>
        <v>0</v>
      </c>
      <c r="DM29" s="38">
        <f>SUMIF('Rig 306'!$B:$B,Lists!$A$20,'Rig 306'!$I:$I)</f>
        <v>0</v>
      </c>
      <c r="DN29" s="38">
        <f>SUMIF('Rig 306'!$B:$B,Lists!$A$21,'Rig 306'!$C:$C)</f>
        <v>0</v>
      </c>
      <c r="DO29" s="38">
        <f>SUMIF('Rig 306'!$B:$B,Lists!$A$21,'Rig 306'!$E:$E)</f>
        <v>0</v>
      </c>
      <c r="DP29" s="38">
        <f>SUMIF('Rig 306'!$B:$B,Lists!$A$21,'Rig 306'!$F:$F)</f>
        <v>0</v>
      </c>
      <c r="DQ29" s="38">
        <f>SUMIF('Rig 306'!$B:$B,Lists!$A$21,'Rig 306'!$G:$G)</f>
        <v>0</v>
      </c>
      <c r="DR29" s="38">
        <f>SUMIF('Rig 306'!$B:$B,Lists!$A$21,'Rig 306'!$H:$H)</f>
        <v>0</v>
      </c>
      <c r="DS29" s="38">
        <f>SUMIF('Rig 306'!$B:$B,Lists!$A$21,'Rig 306'!$I:$I)</f>
        <v>0</v>
      </c>
      <c r="DT29" s="38">
        <f>SUMIF('Rig 306'!$B:$B,Lists!$A$22,'Rig 306'!$C:$C)</f>
        <v>0</v>
      </c>
      <c r="DU29" s="38">
        <f>SUMIF('Rig 306'!$B:$B,Lists!$A$22,'Rig 306'!$E:$E)</f>
        <v>7</v>
      </c>
      <c r="DV29" s="38">
        <f>SUMIF('Rig 306'!$B:$B,Lists!$A$22,'Rig 306'!$F:$F)</f>
        <v>0</v>
      </c>
      <c r="DW29" s="38">
        <f>SUMIF('Rig 306'!$B:$B,Lists!$A$22,'Rig 306'!$G:$G)</f>
        <v>0</v>
      </c>
      <c r="DX29" s="38">
        <f>SUMIF('Rig 306'!$B:$B,Lists!$A$22,'Rig 306'!$H:$H)</f>
        <v>0</v>
      </c>
      <c r="DY29" s="38">
        <f>SUMIF('Rig 306'!$B:$B,Lists!$A$22,'Rig 306'!$I:$I)</f>
        <v>0</v>
      </c>
      <c r="DZ29" s="38">
        <f>SUMIF('Rig 306'!$B:$B,Lists!$A$23,'Rig 306'!$C:$C)</f>
        <v>0</v>
      </c>
      <c r="EA29" s="38">
        <f>SUMIF('Rig 306'!$B:$B,Lists!$A$23,'Rig 306'!$E:$E)</f>
        <v>0</v>
      </c>
      <c r="EB29" s="38">
        <f>SUMIF('Rig 306'!$B:$B,Lists!$A$23,'Rig 306'!$F:$F)</f>
        <v>0</v>
      </c>
      <c r="EC29" s="38">
        <f>SUMIF('Rig 306'!$B:$B,Lists!$A$23,'Rig 306'!$G:$G)</f>
        <v>0</v>
      </c>
      <c r="ED29" s="38">
        <f>SUMIF('Rig 306'!$B:$B,Lists!$A$23,'Rig 306'!$H:$H)</f>
        <v>0</v>
      </c>
      <c r="EE29" s="38">
        <f>SUMIF('Rig 306'!$B:$B,Lists!$A$23,'Rig 306'!$I:$I)</f>
        <v>0</v>
      </c>
      <c r="EF29" s="38">
        <f>SUMIF('Rig 306'!$B:$B,Lists!$A$24,'Rig 306'!$C:$C)</f>
        <v>0</v>
      </c>
      <c r="EG29" s="38">
        <f>SUMIF('Rig 306'!$B:$B,Lists!$A$24,'Rig 306'!$E:$E)</f>
        <v>22</v>
      </c>
      <c r="EH29" s="38">
        <f>SUMIF('Rig 306'!$B:$B,Lists!$A$24,'Rig 306'!$F:$F)</f>
        <v>0</v>
      </c>
      <c r="EI29" s="38">
        <f>SUMIF('Rig 306'!$B:$B,Lists!$A$24,'Rig 306'!$G:$G)</f>
        <v>0</v>
      </c>
      <c r="EJ29" s="38">
        <f>SUMIF('Rig 306'!$B:$B,Lists!$A$24,'Rig 306'!$H:$H)</f>
        <v>0</v>
      </c>
      <c r="EK29" s="38">
        <f>SUMIF('Rig 306'!$B:$B,Lists!$A$24,'Rig 306'!$I:$I)</f>
        <v>0</v>
      </c>
      <c r="EL29" s="38">
        <f>SUMIF('Rig 306'!$B:$B,Lists!$A$25,'Rig 306'!$C:$C)</f>
        <v>0</v>
      </c>
      <c r="EM29" s="38">
        <f>SUMIF('Rig 306'!$B:$B,Lists!$A$25,'Rig 306'!$E:$E)</f>
        <v>0</v>
      </c>
      <c r="EN29" s="38">
        <f>SUMIF('Rig 306'!$B:$B,Lists!$A$25,'Rig 306'!$F:$F)</f>
        <v>0</v>
      </c>
      <c r="EO29" s="38">
        <f>SUMIF('Rig 306'!$B:$B,Lists!$A$25,'Rig 306'!$G:$G)</f>
        <v>0</v>
      </c>
      <c r="EP29" s="38">
        <f>SUMIF('Rig 306'!$B:$B,Lists!$A$25,'Rig 306'!$H:$H)</f>
        <v>0</v>
      </c>
      <c r="EQ29" s="38">
        <f>SUMIF('Rig 306'!$B:$B,Lists!$A$25,'Rig 306'!$I:$I)</f>
        <v>0</v>
      </c>
      <c r="ER29" s="38">
        <f>SUMIF('Rig 306'!$B:$B,Lists!$A$26,'Rig 306'!$C:$C)</f>
        <v>0</v>
      </c>
      <c r="ES29" s="38">
        <f>SUMIF('Rig 306'!$B:$B,Lists!$A$26,'Rig 306'!$E:$E)</f>
        <v>2</v>
      </c>
      <c r="ET29" s="38">
        <f>SUMIF('Rig 306'!$B:$B,Lists!$A$26,'Rig 306'!$F:$F)</f>
        <v>0</v>
      </c>
      <c r="EU29" s="38">
        <f>SUMIF('Rig 306'!$B:$B,Lists!$A$26,'Rig 306'!$G:$G)</f>
        <v>0</v>
      </c>
      <c r="EV29" s="38">
        <f>SUMIF('Rig 306'!$B:$B,Lists!$A$26,'Rig 306'!$H:$H)</f>
        <v>0</v>
      </c>
      <c r="EW29" s="38">
        <f>SUMIF('Rig 306'!$B:$B,Lists!$A$26,'Rig 306'!$I:$I)</f>
        <v>0</v>
      </c>
      <c r="EX29" s="38">
        <f>SUMIF('Rig 306'!$B:$B,Lists!$A$27,'Rig 306'!$C:$C)</f>
        <v>0</v>
      </c>
      <c r="EY29" s="38">
        <f>SUMIF('Rig 306'!$B:$B,Lists!$A$27,'Rig 306'!$E:$E)</f>
        <v>0</v>
      </c>
      <c r="EZ29" s="38">
        <f>SUMIF('Rig 306'!$B:$B,Lists!$A$27,'Rig 306'!$F:$F)</f>
        <v>0</v>
      </c>
      <c r="FA29" s="38">
        <f>SUMIF('Rig 306'!$B:$B,Lists!$A$27,'Rig 306'!$G:$G)</f>
        <v>0</v>
      </c>
      <c r="FB29" s="38">
        <f>SUMIF('Rig 306'!$B:$B,Lists!$A$27,'Rig 306'!$H:$H)</f>
        <v>0</v>
      </c>
      <c r="FC29" s="38">
        <f>SUMIF('Rig 306'!$B:$B,Lists!$A$27,'Rig 306'!$I:$I)</f>
        <v>0</v>
      </c>
      <c r="FD29" s="38">
        <f>SUMIF('Rig 306'!$B:$B,Lists!$A$28,'Rig 306'!$C:$C)</f>
        <v>0</v>
      </c>
      <c r="FE29" s="38">
        <f>SUMIF('Rig 306'!$B:$B,Lists!$A$28,'Rig 306'!$E:$E)</f>
        <v>0</v>
      </c>
      <c r="FF29" s="38">
        <f>SUMIF('Rig 306'!$B:$B,Lists!$A$28,'Rig 306'!$F:$F)</f>
        <v>0</v>
      </c>
      <c r="FG29" s="38">
        <f>SUMIF('Rig 306'!$B:$B,Lists!$A$28,'Rig 306'!$G:$G)</f>
        <v>0</v>
      </c>
      <c r="FH29" s="38">
        <f>SUMIF('Rig 306'!$B:$B,Lists!$A$28,'Rig 306'!$H:$H)</f>
        <v>0</v>
      </c>
      <c r="FI29" s="38">
        <f>SUMIF('Rig 306'!$B:$B,Lists!$A$28,'Rig 306'!$I:$I)</f>
        <v>0</v>
      </c>
      <c r="FJ29" s="38">
        <f>SUMIF('Rig 306'!$B:$B,Lists!$A$29,'Rig 306'!$C:$C)</f>
        <v>0</v>
      </c>
      <c r="FK29" s="38">
        <f>SUMIF('Rig 306'!$B:$B,Lists!$A$29,'Rig 306'!$E:$E)</f>
        <v>9</v>
      </c>
      <c r="FL29" s="38">
        <f>SUMIF('Rig 306'!$B:$B,Lists!$A$29,'Rig 306'!$F:$F)</f>
        <v>0</v>
      </c>
      <c r="FM29" s="38">
        <f>SUMIF('Rig 306'!$B:$B,Lists!$A$29,'Rig 306'!$G:$G)</f>
        <v>0</v>
      </c>
      <c r="FN29" s="38">
        <f>SUMIF('Rig 306'!$B:$B,Lists!$A$29,'Rig 306'!$H:$H)</f>
        <v>0</v>
      </c>
      <c r="FO29" s="38">
        <f>SUMIF('Rig 306'!$B:$B,Lists!$A$29,'Rig 306'!$I:$I)</f>
        <v>0</v>
      </c>
      <c r="FP29" s="38">
        <f>SUMIF('Rig 306'!$B:$B,Lists!$A$30,'Rig 306'!$C:$C)</f>
        <v>0</v>
      </c>
      <c r="FQ29" s="38">
        <f>SUMIF('Rig 306'!$B:$B,Lists!$A$30,'Rig 306'!$E:$E)</f>
        <v>0</v>
      </c>
      <c r="FR29" s="38">
        <f>SUMIF('Rig 306'!$B:$B,Lists!$A$30,'Rig 306'!$F:$F)</f>
        <v>0</v>
      </c>
      <c r="FS29" s="38">
        <f>SUMIF('Rig 306'!$B:$B,Lists!$A$30,'Rig 306'!$G:$G)</f>
        <v>0</v>
      </c>
      <c r="FT29" s="38">
        <f>SUMIF('Rig 306'!$B:$B,Lists!$A$30,'Rig 306'!$H:$H)</f>
        <v>0</v>
      </c>
      <c r="FU29" s="38">
        <f>SUMIF('Rig 306'!$B:$B,Lists!$A$30,'Rig 306'!$I:$I)</f>
        <v>6</v>
      </c>
      <c r="FV29" s="38">
        <f>SUMIF('Rig 306'!$B:$B,Lists!$A$31,'Rig 306'!$C:$C)</f>
        <v>0</v>
      </c>
      <c r="FW29" s="38">
        <f>SUMIF('Rig 306'!$B:$B,Lists!$A$31,'Rig 306'!$E:$E)</f>
        <v>0</v>
      </c>
      <c r="FX29" s="38">
        <f>SUMIF('Rig 306'!$B:$B,Lists!$A$31,'Rig 306'!$F:$F)</f>
        <v>0</v>
      </c>
      <c r="FY29" s="38">
        <f>SUMIF('Rig 306'!$B:$B,Lists!$A$31,'Rig 306'!$G:$G)</f>
        <v>0</v>
      </c>
      <c r="FZ29" s="38">
        <f>SUMIF('Rig 306'!$B:$B,Lists!$A$31,'Rig 306'!$H:$H)</f>
        <v>0</v>
      </c>
      <c r="GA29" s="38">
        <f>SUMIF('Rig 306'!$B:$B,Lists!$A$31,'Rig 306'!$I:$I)</f>
        <v>0</v>
      </c>
      <c r="GB29" s="38">
        <f>SUMIF('Rig 306'!$B:$B,Lists!$A$32,'Rig 306'!$C:$C)</f>
        <v>0</v>
      </c>
      <c r="GC29" s="38">
        <f>SUMIF('Rig 306'!$B:$B,Lists!$A$32,'Rig 306'!$E:$E)</f>
        <v>0</v>
      </c>
      <c r="GD29" s="38">
        <f>SUMIF('Rig 306'!$B:$B,Lists!$A$32,'Rig 306'!$F:$F)</f>
        <v>0</v>
      </c>
      <c r="GE29" s="38">
        <f>SUMIF('Rig 306'!$B:$B,Lists!$A$32,'Rig 306'!$G:$G)</f>
        <v>0</v>
      </c>
      <c r="GF29" s="38">
        <f>SUMIF('Rig 306'!$B:$B,Lists!$A$32,'Rig 306'!$H:$H)</f>
        <v>0</v>
      </c>
      <c r="GG29" s="38">
        <f>SUMIF('Rig 306'!$B:$B,Lists!$A$32,'Rig 306'!$I:$I)</f>
        <v>0</v>
      </c>
      <c r="GH29" s="38">
        <f>SUMIF('Rig 306'!$B:$B,Lists!$A$33,'Rig 306'!$C:$C)</f>
        <v>0</v>
      </c>
      <c r="GI29" s="38">
        <f>SUMIF('Rig 306'!$B:$B,Lists!$A$33,'Rig 306'!$E:$E)</f>
        <v>0</v>
      </c>
      <c r="GJ29" s="38">
        <f>SUMIF('Rig 306'!$B:$B,Lists!$A$33,'Rig 306'!$F:$F)</f>
        <v>0</v>
      </c>
      <c r="GK29" s="38">
        <f>SUMIF('Rig 306'!$B:$B,Lists!$A$33,'Rig 306'!$G:$G)</f>
        <v>0</v>
      </c>
      <c r="GL29" s="38">
        <f>SUMIF('Rig 306'!$B:$B,Lists!$A$33,'Rig 306'!$H:$H)</f>
        <v>0</v>
      </c>
      <c r="GM29" s="38">
        <f>SUMIF('Rig 306'!$B:$B,Lists!$A$33,'Rig 306'!$I:$I)</f>
        <v>2</v>
      </c>
      <c r="GN29" s="38">
        <f>SUMIF('Rig 306'!$B:$B,Lists!$A$34,'Rig 306'!$C:$C)</f>
        <v>0</v>
      </c>
      <c r="GO29" s="38">
        <f>SUMIF('Rig 306'!$B:$B,Lists!$A$34,'Rig 306'!$E:$E)</f>
        <v>0</v>
      </c>
      <c r="GP29" s="38">
        <f>SUMIF('Rig 306'!$B:$B,Lists!$A$34,'Rig 306'!$F:$F)</f>
        <v>0</v>
      </c>
      <c r="GQ29" s="38">
        <f>SUMIF('Rig 306'!$B:$B,Lists!$A$34,'Rig 306'!$G:$G)</f>
        <v>0</v>
      </c>
      <c r="GR29" s="38">
        <f>SUMIF('Rig 306'!$B:$B,Lists!$A$34,'Rig 306'!$H:$H)</f>
        <v>0</v>
      </c>
      <c r="GS29" s="38">
        <f>SUMIF('Rig 306'!$B:$B,Lists!$A$34,'Rig 306'!$I:$I)</f>
        <v>0</v>
      </c>
      <c r="GT29" s="38">
        <f>SUMIF('Rig 306'!$B:$B,Lists!$A$35,'Rig 306'!$C:$C)</f>
        <v>0</v>
      </c>
      <c r="GU29" s="38">
        <f>SUMIF('Rig 306'!$B:$B,Lists!$A$35,'Rig 306'!$E:$E)</f>
        <v>0</v>
      </c>
      <c r="GV29" s="38">
        <f>SUMIF('Rig 306'!$B:$B,Lists!$A$35,'Rig 306'!$F:$F)</f>
        <v>0</v>
      </c>
      <c r="GW29" s="38">
        <f>SUMIF('Rig 306'!$B:$B,Lists!$A$35,'Rig 306'!$G:$G)</f>
        <v>0</v>
      </c>
      <c r="GX29" s="38">
        <f>SUMIF('Rig 306'!$B:$B,Lists!$A$35,'Rig 306'!$H:$H)</f>
        <v>0</v>
      </c>
      <c r="GY29" s="38">
        <f>SUMIF('Rig 306'!$B:$B,Lists!$A$35,'Rig 306'!$I:$I)</f>
        <v>0</v>
      </c>
      <c r="GZ29" s="38">
        <f>SUMIF('Rig 306'!$B:$B,Lists!$A$36,'Rig 306'!$C:$C)</f>
        <v>0</v>
      </c>
      <c r="HA29" s="38">
        <f>SUMIF('Rig 306'!$B:$B,Lists!$A$36,'Rig 306'!$E:$E)</f>
        <v>0</v>
      </c>
      <c r="HB29" s="38">
        <f>SUMIF('Rig 306'!$B:$B,Lists!$A$36,'Rig 306'!$F:$F)</f>
        <v>0</v>
      </c>
      <c r="HC29" s="38">
        <f>SUMIF('Rig 306'!$B:$B,Lists!$A$36,'Rig 306'!$G:$G)</f>
        <v>0</v>
      </c>
      <c r="HD29" s="38">
        <f>SUMIF('Rig 306'!$B:$B,Lists!$A$36,'Rig 306'!$H:$H)</f>
        <v>0</v>
      </c>
      <c r="HE29" s="38">
        <f>SUMIF('Rig 306'!$B:$B,Lists!$A$36,'Rig 306'!$I:$I)</f>
        <v>0</v>
      </c>
      <c r="HF29" s="38">
        <f>SUMIF('Rig 306'!$B:$B,Lists!$A$37,'Rig 306'!$C:$C)</f>
        <v>0</v>
      </c>
      <c r="HG29" s="38">
        <f>SUMIF('Rig 306'!$B:$B,Lists!$A$37,'Rig 306'!$E:$E)</f>
        <v>0</v>
      </c>
      <c r="HH29" s="38">
        <f>SUMIF('Rig 306'!$B:$B,Lists!$A$37,'Rig 306'!$F:$F)</f>
        <v>0</v>
      </c>
      <c r="HI29" s="38">
        <f>SUMIF('Rig 306'!$B:$B,Lists!$A$37,'Rig 306'!$G:$G)</f>
        <v>0</v>
      </c>
      <c r="HJ29" s="38">
        <f>SUMIF('Rig 306'!$B:$B,Lists!$A$37,'Rig 306'!$H:$H)</f>
        <v>0</v>
      </c>
      <c r="HK29" s="38">
        <f>SUMIF('Rig 306'!$B:$B,Lists!$A$37,'Rig 306'!$I:$I)</f>
        <v>0</v>
      </c>
      <c r="HL29" s="38">
        <f>SUMIF('Rig 306'!$B:$B,Lists!$A$38,'Rig 306'!$C:$C)</f>
        <v>0</v>
      </c>
      <c r="HM29" s="38">
        <f>SUMIF('Rig 306'!$B:$B,Lists!$A$38,'Rig 306'!$E:$E)</f>
        <v>0</v>
      </c>
      <c r="HN29" s="38">
        <f>SUMIF('Rig 306'!$B:$B,Lists!$A$38,'Rig 306'!$F:$F)</f>
        <v>0</v>
      </c>
      <c r="HO29" s="38">
        <f>SUMIF('Rig 306'!$B:$B,Lists!$A$38,'Rig 306'!$G:$G)</f>
        <v>0</v>
      </c>
      <c r="HP29" s="38">
        <f>SUMIF('Rig 306'!$B:$B,Lists!$A$38,'Rig 306'!$H:$H)</f>
        <v>0</v>
      </c>
      <c r="HQ29" s="38">
        <f>SUMIF('Rig 306'!$B:$B,Lists!$A$38,'Rig 306'!$I:$I)</f>
        <v>0</v>
      </c>
      <c r="HR29" s="38">
        <f>SUMIF('Rig 306'!$B:$B,Lists!$A$39,'Rig 306'!$C:$C)</f>
        <v>0</v>
      </c>
      <c r="HS29" s="38">
        <f>SUMIF('Rig 306'!$B:$B,Lists!$A$39,'Rig 306'!$E:$E)</f>
        <v>1</v>
      </c>
      <c r="HT29" s="38">
        <f>SUMIF('Rig 306'!$B:$B,Lists!$A$39,'Rig 306'!$F:$F)</f>
        <v>0</v>
      </c>
      <c r="HU29" s="38">
        <f>SUMIF('Rig 306'!$B:$B,Lists!$A$39,'Rig 306'!$G:$G)</f>
        <v>0</v>
      </c>
      <c r="HV29" s="38">
        <f>SUMIF('Rig 306'!$B:$B,Lists!$A$39,'Rig 306'!$H:$H)</f>
        <v>0</v>
      </c>
      <c r="HW29" s="38">
        <f>SUMIF('Rig 306'!$B:$B,Lists!$A$39,'Rig 306'!$I:$I)</f>
        <v>8</v>
      </c>
      <c r="HX29" s="38">
        <f>SUMIF('Rig 306'!$B:$B,Lists!$A$40,'Rig 306'!$C:$C)</f>
        <v>0</v>
      </c>
      <c r="HY29" s="38">
        <f>SUMIF('Rig 306'!$B:$B,Lists!$A$40,'Rig 306'!$E:$E)</f>
        <v>0</v>
      </c>
      <c r="HZ29" s="38">
        <f>SUMIF('Rig 306'!$B:$B,Lists!$A$40,'Rig 306'!$F:$F)</f>
        <v>0</v>
      </c>
      <c r="IA29" s="38">
        <f>SUMIF('Rig 306'!$B:$B,Lists!$A$40,'Rig 306'!$G:$G)</f>
        <v>0</v>
      </c>
      <c r="IB29" s="38">
        <f>SUMIF('Rig 306'!$B:$B,Lists!$A$40,'Rig 306'!$H:$H)</f>
        <v>0</v>
      </c>
      <c r="IC29" s="38">
        <f>SUMIF('Rig 306'!$B:$B,Lists!$A$40,'Rig 306'!$I:$I)</f>
        <v>0</v>
      </c>
      <c r="ID29" s="38">
        <f>SUMIF('Rig 306'!$B:$B,Lists!$A$41,'Rig 306'!$C:$C)</f>
        <v>0</v>
      </c>
      <c r="IE29" s="38">
        <f>SUMIF('Rig 306'!$B:$B,Lists!$A$41,'Rig 306'!$E:$E)</f>
        <v>0</v>
      </c>
      <c r="IF29" s="38">
        <f>SUMIF('Rig 306'!$B:$B,Lists!$A$41,'Rig 306'!$F:$F)</f>
        <v>0</v>
      </c>
      <c r="IG29" s="38">
        <f>SUMIF('Rig 306'!$B:$B,Lists!$A$41,'Rig 306'!$G:$G)</f>
        <v>0</v>
      </c>
      <c r="IH29" s="38">
        <f>SUMIF('Rig 306'!$B:$B,Lists!$A$41,'Rig 306'!$H:$H)</f>
        <v>0</v>
      </c>
      <c r="II29" s="38">
        <f>SUMIF('Rig 306'!$B:$B,Lists!$A$41,'Rig 306'!$I:$I)</f>
        <v>0</v>
      </c>
    </row>
    <row r="30" spans="1:243" ht="19.5" customHeight="1" x14ac:dyDescent="0.3">
      <c r="A30" s="31" t="s">
        <v>101</v>
      </c>
      <c r="B30" s="32">
        <f>'Hoist 1'!D2</f>
        <v>46174</v>
      </c>
      <c r="C30" s="33" t="s">
        <v>77</v>
      </c>
      <c r="D30" s="34">
        <f>SUMIF('Hoist 1'!$B:$B,Lists!$A$2,'Hoist 1'!$C:$C)</f>
        <v>156</v>
      </c>
      <c r="E30" s="34">
        <f>SUMIF('Hoist 1'!$B:$B,Lists!$A$2,'Hoist 1'!$E:$E)</f>
        <v>92</v>
      </c>
      <c r="F30" s="34">
        <f>SUMIF('Hoist 1'!$B:$B,Lists!$A$2,'Hoist 1'!$F:$F)</f>
        <v>0</v>
      </c>
      <c r="G30" s="34">
        <f>SUMIF('Hoist 1'!$B:$B,Lists!$A$2,'Hoist 1'!$G:$G)</f>
        <v>0</v>
      </c>
      <c r="H30" s="34">
        <f>SUMIF('Hoist 1'!$B:$B,Lists!$A$2,'Hoist 1'!$H:$H)</f>
        <v>0</v>
      </c>
      <c r="I30" s="34">
        <f>SUMIF('Hoist 1'!$B:$B,Lists!$A$2,'Hoist 1'!$I:$I)</f>
        <v>0</v>
      </c>
      <c r="J30" s="34">
        <f>SUMIF('Hoist 1'!$B:$B,Lists!$A$3,'Hoist 1'!$C:$C)</f>
        <v>0</v>
      </c>
      <c r="K30" s="34">
        <f>SUMIF('Hoist 1'!$B:$B,Lists!$A$3,'Hoist 1'!$E:$E)</f>
        <v>0</v>
      </c>
      <c r="L30" s="34">
        <f>SUMIF('Hoist 1'!$B:$B,Lists!$A$3,'Hoist 1'!$F:$F)</f>
        <v>0</v>
      </c>
      <c r="M30" s="34">
        <f>SUMIF('Hoist 1'!$B:$B,Lists!$A$3,'Hoist 1'!$G:$G)</f>
        <v>0</v>
      </c>
      <c r="N30" s="34">
        <f>SUMIF('Hoist 1'!$B:$B,Lists!$A$3,'Hoist 1'!$H:$H)</f>
        <v>0</v>
      </c>
      <c r="O30" s="34">
        <f>SUMIF('Hoist 1'!$B:$B,Lists!$A$3,'Hoist 1'!$I:$I)</f>
        <v>0</v>
      </c>
      <c r="P30" s="34">
        <f>SUMIF('Hoist 1'!$B:$B,Lists!$A$4,'Hoist 1'!$C:$C)</f>
        <v>0</v>
      </c>
      <c r="Q30" s="34">
        <f>SUMIF('Hoist 1'!$B:$B,Lists!$A$4,'Hoist 1'!$E:$E)</f>
        <v>0</v>
      </c>
      <c r="R30" s="34">
        <f>SUMIF('Hoist 1'!$B:$B,Lists!$A$4,'Hoist 1'!$F:$F)</f>
        <v>0</v>
      </c>
      <c r="S30" s="34">
        <f>SUMIF('Hoist 1'!$B:$B,Lists!$A$4,'Hoist 1'!$G:$G)</f>
        <v>0</v>
      </c>
      <c r="T30" s="34">
        <f>SUMIF('Hoist 1'!$B:$B,Lists!$A$4,'Hoist 1'!$H:$H)</f>
        <v>0</v>
      </c>
      <c r="U30" s="34">
        <f>SUMIF('Hoist 1'!$B:$B,Lists!$A$4,'Hoist 1'!$I:$I)</f>
        <v>0</v>
      </c>
      <c r="V30" s="34">
        <f>SUMIF('Hoist 1'!$B:$B,Lists!$A$5,'Hoist 1'!$C:$C)</f>
        <v>0</v>
      </c>
      <c r="W30" s="34">
        <f>SUMIF('Hoist 1'!$B:$B,Lists!$A$5,'Hoist 1'!$E:$E)</f>
        <v>0</v>
      </c>
      <c r="X30" s="34">
        <f>SUMIF('Hoist 1'!$B:$B,Lists!$A$5,'Hoist 1'!$F:$F)</f>
        <v>0</v>
      </c>
      <c r="Y30" s="34">
        <f>SUMIF('Hoist 1'!$B:$B,Lists!$A$5,'Hoist 1'!$G:$G)</f>
        <v>0</v>
      </c>
      <c r="Z30" s="34">
        <f>SUMIF('Hoist 1'!$B:$B,Lists!$A$5,'Hoist 1'!$H:$H)</f>
        <v>0</v>
      </c>
      <c r="AA30" s="34">
        <f>SUMIF('Hoist 1'!$B:$B,Lists!$A$5,'Hoist 1'!$I:$I)</f>
        <v>0</v>
      </c>
      <c r="AB30" s="34">
        <f>SUMIF('Hoist 1'!$B:$B,Lists!$A$6,'Hoist 1'!$C:$C)</f>
        <v>0</v>
      </c>
      <c r="AC30" s="34">
        <f>SUMIF('Hoist 1'!$B:$B,Lists!$A$6,'Hoist 1'!$E:$E)</f>
        <v>0</v>
      </c>
      <c r="AD30" s="34">
        <f>SUMIF('Hoist 1'!$B:$B,Lists!$A$6,'Hoist 1'!$F:$F)</f>
        <v>0</v>
      </c>
      <c r="AE30" s="34">
        <f>SUMIF('Hoist 1'!$B:$B,Lists!$A$6,'Hoist 1'!$G:$G)</f>
        <v>0</v>
      </c>
      <c r="AF30" s="34">
        <f>SUMIF('Hoist 1'!$B:$B,Lists!$A$6,'Hoist 1'!$H:$H)</f>
        <v>0</v>
      </c>
      <c r="AG30" s="34">
        <f>SUMIF('Hoist 1'!$B:$B,Lists!$A$6,'Hoist 1'!$I:$I)</f>
        <v>0</v>
      </c>
      <c r="AH30" s="34">
        <f>SUMIF('Hoist 1'!$B:$B,Lists!$A$7,'Hoist 1'!$C:$C)</f>
        <v>0</v>
      </c>
      <c r="AI30" s="34">
        <f>SUMIF('Hoist 1'!$B:$B,Lists!$A$7,'Hoist 1'!$E:$E)</f>
        <v>0</v>
      </c>
      <c r="AJ30" s="34">
        <f>SUMIF('Hoist 1'!$B:$B,Lists!$A$7,'Hoist 1'!$F:$F)</f>
        <v>0</v>
      </c>
      <c r="AK30" s="34">
        <f>SUMIF('Hoist 1'!$B:$B,Lists!$A$7,'Hoist 1'!$G:$G)</f>
        <v>0</v>
      </c>
      <c r="AL30" s="34">
        <f>SUMIF('Hoist 1'!$B:$B,Lists!$A$7,'Hoist 1'!$H:$H)</f>
        <v>0</v>
      </c>
      <c r="AM30" s="34">
        <f>SUMIF('Hoist 1'!$B:$B,Lists!$A$7,'Hoist 1'!$I:$I)</f>
        <v>0</v>
      </c>
      <c r="AN30" s="34">
        <f>SUMIF('Hoist 1'!$B:$B,Lists!$A$8,'Hoist 1'!$C:$C)</f>
        <v>0</v>
      </c>
      <c r="AO30" s="34">
        <f>SUMIF('Hoist 1'!$B:$B,Lists!$A$8,'Hoist 1'!$E:$E)</f>
        <v>0</v>
      </c>
      <c r="AP30" s="34">
        <f>SUMIF('Hoist 1'!$B:$B,Lists!$A$8,'Hoist 1'!$F:$F)</f>
        <v>0</v>
      </c>
      <c r="AQ30" s="34">
        <f>SUMIF('Hoist 1'!$B:$B,Lists!$A$8,'Hoist 1'!$G:$G)</f>
        <v>0</v>
      </c>
      <c r="AR30" s="34">
        <f>SUMIF('Hoist 1'!$B:$B,Lists!$A$8,'Hoist 1'!$H:$H)</f>
        <v>0</v>
      </c>
      <c r="AS30" s="34">
        <f>SUMIF('Hoist 1'!$B:$B,Lists!$A$8,'Hoist 1'!$I:$I)</f>
        <v>0</v>
      </c>
      <c r="AT30" s="34">
        <f>SUMIF('Hoist 1'!$B:$B,Lists!$A$9,'Hoist 1'!$C:$C)</f>
        <v>0</v>
      </c>
      <c r="AU30" s="34">
        <f>SUMIF('Hoist 1'!$B:$B,Lists!$A$9,'Hoist 1'!$E:$E)</f>
        <v>0</v>
      </c>
      <c r="AV30" s="34">
        <f>SUMIF('Hoist 1'!$B:$B,Lists!$A$9,'Hoist 1'!$F:$F)</f>
        <v>0</v>
      </c>
      <c r="AW30" s="34">
        <f>SUMIF('Hoist 1'!$B:$B,Lists!$A$9,'Hoist 1'!$G:$G)</f>
        <v>0</v>
      </c>
      <c r="AX30" s="34">
        <f>SUMIF('Hoist 1'!$B:$B,Lists!$A$9,'Hoist 1'!$H:$H)</f>
        <v>0</v>
      </c>
      <c r="AY30" s="34">
        <f>SUMIF('Hoist 1'!$B:$B,Lists!$A$9,'Hoist 1'!$I:$I)</f>
        <v>0</v>
      </c>
      <c r="AZ30" s="34">
        <f>SUMIF('Hoist 1'!$B:$B,Lists!$A$10,'Hoist 1'!$C:$C)</f>
        <v>0</v>
      </c>
      <c r="BA30" s="34">
        <f>SUMIF('Hoist 1'!$B:$B,Lists!$A$10,'Hoist 1'!$E:$E)</f>
        <v>0</v>
      </c>
      <c r="BB30" s="34">
        <f>SUMIF('Hoist 1'!$B:$B,Lists!$A$10,'Hoist 1'!$F:$F)</f>
        <v>0</v>
      </c>
      <c r="BC30" s="34">
        <f>SUMIF('Hoist 1'!$B:$B,Lists!$A$10,'Hoist 1'!$G:$G)</f>
        <v>0</v>
      </c>
      <c r="BD30" s="34">
        <f>SUMIF('Hoist 1'!$B:$B,Lists!$A$10,'Hoist 1'!$H:$H)</f>
        <v>0</v>
      </c>
      <c r="BE30" s="34">
        <f>SUMIF('Hoist 1'!$B:$B,Lists!$A$10,'Hoist 1'!$I:$I)</f>
        <v>0</v>
      </c>
      <c r="BF30" s="34">
        <f>SUMIF('Hoist 1'!$B:$B,Lists!$A$11,'Hoist 1'!$C:$C)</f>
        <v>0</v>
      </c>
      <c r="BG30" s="34">
        <f>SUMIF('Hoist 1'!$B:$B,Lists!$A$11,'Hoist 1'!$E:$E)</f>
        <v>0</v>
      </c>
      <c r="BH30" s="34">
        <f>SUMIF('Hoist 1'!$B:$B,Lists!$A$11,'Hoist 1'!$F:$F)</f>
        <v>0</v>
      </c>
      <c r="BI30" s="34">
        <f>SUMIF('Hoist 1'!$B:$B,Lists!$A$11,'Hoist 1'!$G:$G)</f>
        <v>0</v>
      </c>
      <c r="BJ30" s="34">
        <f>SUMIF('Hoist 1'!$B:$B,Lists!$A$11,'Hoist 1'!$H:$H)</f>
        <v>0</v>
      </c>
      <c r="BK30" s="34">
        <f>SUMIF('Hoist 1'!$B:$B,Lists!$A$11,'Hoist 1'!$I:$I)</f>
        <v>0</v>
      </c>
      <c r="BL30" s="34">
        <f>SUMIF('Hoist 1'!$B:$B,Lists!$A$12,'Hoist 1'!$C:$C)</f>
        <v>0</v>
      </c>
      <c r="BM30" s="34">
        <f>SUMIF('Hoist 1'!$B:$B,Lists!$A$12,'Hoist 1'!$E:$E)</f>
        <v>0</v>
      </c>
      <c r="BN30" s="34">
        <f>SUMIF('Hoist 1'!$B:$B,Lists!$A$12,'Hoist 1'!$F:$F)</f>
        <v>0</v>
      </c>
      <c r="BO30" s="34">
        <f>SUMIF('Hoist 1'!$B:$B,Lists!$A$12,'Hoist 1'!$G:$G)</f>
        <v>0</v>
      </c>
      <c r="BP30" s="34">
        <f>SUMIF('Hoist 1'!$B:$B,Lists!$A$12,'Hoist 1'!$H:$H)</f>
        <v>0</v>
      </c>
      <c r="BQ30" s="34">
        <f>SUMIF('Hoist 1'!$B:$B,Lists!$A$12,'Hoist 1'!$I:$I)</f>
        <v>0</v>
      </c>
      <c r="BR30" s="34">
        <f>SUMIF('Hoist 1'!$B:$B,Lists!$A$13,'Hoist 1'!$C:$C)</f>
        <v>0</v>
      </c>
      <c r="BS30" s="34">
        <f>SUMIF('Hoist 1'!$B:$B,Lists!$A$13,'Hoist 1'!$E:$E)</f>
        <v>0</v>
      </c>
      <c r="BT30" s="34">
        <f>SUMIF('Hoist 1'!$B:$B,Lists!$A$13,'Hoist 1'!$F:$F)</f>
        <v>0</v>
      </c>
      <c r="BU30" s="34">
        <f>SUMIF('Hoist 1'!$B:$B,Lists!$A$13,'Hoist 1'!$G:$G)</f>
        <v>0</v>
      </c>
      <c r="BV30" s="34">
        <f>SUMIF('Hoist 1'!$B:$B,Lists!$A$13,'Hoist 1'!$H:$H)</f>
        <v>0</v>
      </c>
      <c r="BW30" s="34">
        <f>SUMIF('Hoist 1'!$B:$B,Lists!$A$13,'Hoist 1'!$I:$I)</f>
        <v>0</v>
      </c>
      <c r="BX30" s="34">
        <f>SUMIF('Hoist 1'!$B:$B,Lists!$A$14,'Hoist 1'!$C:$C)</f>
        <v>0</v>
      </c>
      <c r="BY30" s="34">
        <f>SUMIF('Hoist 1'!$B:$B,Lists!$A$14,'Hoist 1'!$E:$E)</f>
        <v>0</v>
      </c>
      <c r="BZ30" s="34">
        <f>SUMIF('Hoist 1'!$B:$B,Lists!$A$14,'Hoist 1'!$F:$F)</f>
        <v>0</v>
      </c>
      <c r="CA30" s="34">
        <f>SUMIF('Hoist 1'!$B:$B,Lists!$A$14,'Hoist 1'!$G:$G)</f>
        <v>0</v>
      </c>
      <c r="CB30" s="34">
        <f>SUMIF('Hoist 1'!$B:$B,Lists!$A$14,'Hoist 1'!$H:$H)</f>
        <v>0</v>
      </c>
      <c r="CC30" s="34">
        <f>SUMIF('Hoist 1'!$B:$B,Lists!$A$14,'Hoist 1'!$I:$I)</f>
        <v>0</v>
      </c>
      <c r="CD30" s="34">
        <f>SUMIF('Hoist 1'!$B:$B,Lists!$A$15,'Hoist 1'!$C:$C)</f>
        <v>0</v>
      </c>
      <c r="CE30" s="34">
        <f>SUMIF('Hoist 1'!$B:$B,Lists!$A$15,'Hoist 1'!$E:$E)</f>
        <v>35</v>
      </c>
      <c r="CF30" s="34">
        <f>SUMIF('Hoist 1'!$B:$B,Lists!$A$15,'Hoist 1'!$F:$F)</f>
        <v>0</v>
      </c>
      <c r="CG30" s="34">
        <f>SUMIF('Hoist 1'!$B:$B,Lists!$A$15,'Hoist 1'!$G:$G)</f>
        <v>0</v>
      </c>
      <c r="CH30" s="34">
        <f>SUMIF('Hoist 1'!$B:$B,Lists!$A$15,'Hoist 1'!$H:$H)</f>
        <v>0</v>
      </c>
      <c r="CI30" s="34">
        <f>SUMIF('Hoist 1'!$B:$B,Lists!$A$15,'Hoist 1'!$I:$I)</f>
        <v>0</v>
      </c>
      <c r="CJ30" s="34">
        <f>SUMIF('Hoist 1'!$B:$B,Lists!$A$16,'Hoist 1'!$C:$C)</f>
        <v>31</v>
      </c>
      <c r="CK30" s="34">
        <f>SUMIF('Hoist 1'!$B:$B,Lists!$A$16,'Hoist 1'!$E:$E)</f>
        <v>24</v>
      </c>
      <c r="CL30" s="34">
        <f>SUMIF('Hoist 1'!$B:$B,Lists!$A$16,'Hoist 1'!$F:$F)</f>
        <v>0</v>
      </c>
      <c r="CM30" s="34">
        <f>SUMIF('Hoist 1'!$B:$B,Lists!$A$16,'Hoist 1'!$G:$G)</f>
        <v>0</v>
      </c>
      <c r="CN30" s="34">
        <f>SUMIF('Hoist 1'!$B:$B,Lists!$A$16,'Hoist 1'!$H:$H)</f>
        <v>0</v>
      </c>
      <c r="CO30" s="34">
        <f>SUMIF('Hoist 1'!$B:$B,Lists!$A$16,'Hoist 1'!$I:$I)</f>
        <v>0</v>
      </c>
      <c r="CP30" s="34">
        <f>SUMIF('Hoist 1'!$B:$B,Lists!$A$17,'Hoist 1'!$C:$C)</f>
        <v>0</v>
      </c>
      <c r="CQ30" s="34">
        <f>SUMIF('Hoist 1'!$B:$B,Lists!$A$17,'Hoist 1'!$E:$E)</f>
        <v>0</v>
      </c>
      <c r="CR30" s="34">
        <f>SUMIF('Hoist 1'!$B:$B,Lists!$A$17,'Hoist 1'!$F:$F)</f>
        <v>0</v>
      </c>
      <c r="CS30" s="34">
        <f>SUMIF('Hoist 1'!$B:$B,Lists!$A$17,'Hoist 1'!$G:$G)</f>
        <v>0</v>
      </c>
      <c r="CT30" s="34">
        <f>SUMIF('Hoist 1'!$B:$B,Lists!$A$17,'Hoist 1'!$H:$H)</f>
        <v>0</v>
      </c>
      <c r="CU30" s="34">
        <f>SUMIF('Hoist 1'!$B:$B,Lists!$A$17,'Hoist 1'!$I:$I)</f>
        <v>0</v>
      </c>
      <c r="CV30" s="34">
        <f>SUMIF('Hoist 1'!$B:$B,Lists!$A$18,'Hoist 1'!$C:$C)</f>
        <v>0</v>
      </c>
      <c r="CW30" s="34">
        <f>SUMIF('Hoist 1'!$B:$B,Lists!$A$18,'Hoist 1'!$E:$E)</f>
        <v>0</v>
      </c>
      <c r="CX30" s="34">
        <f>SUMIF('Hoist 1'!$B:$B,Lists!$A$18,'Hoist 1'!$F:$F)</f>
        <v>0</v>
      </c>
      <c r="CY30" s="34">
        <f>SUMIF('Hoist 1'!$B:$B,Lists!$A$18,'Hoist 1'!$G:$G)</f>
        <v>0</v>
      </c>
      <c r="CZ30" s="34">
        <f>SUMIF('Hoist 1'!$B:$B,Lists!$A$18,'Hoist 1'!$H:$H)</f>
        <v>0</v>
      </c>
      <c r="DA30" s="34">
        <f>SUMIF('Hoist 1'!$B:$B,Lists!$A$18,'Hoist 1'!$I:$I)</f>
        <v>0</v>
      </c>
      <c r="DB30" s="34">
        <f>SUMIF('Hoist 1'!$B:$B,Lists!$A$19,'Hoist 1'!$C:$C)</f>
        <v>0</v>
      </c>
      <c r="DC30" s="34">
        <f>SUMIF('Hoist 1'!$B:$B,Lists!$A$19,'Hoist 1'!$E:$E)</f>
        <v>0</v>
      </c>
      <c r="DD30" s="34">
        <f>SUMIF('Hoist 1'!$B:$B,Lists!$A$19,'Hoist 1'!$F:$F)</f>
        <v>0</v>
      </c>
      <c r="DE30" s="34">
        <f>SUMIF('Hoist 1'!$B:$B,Lists!$A$19,'Hoist 1'!$G:$G)</f>
        <v>0</v>
      </c>
      <c r="DF30" s="34">
        <f>SUMIF('Hoist 1'!$B:$B,Lists!$A$19,'Hoist 1'!$H:$H)</f>
        <v>0</v>
      </c>
      <c r="DG30" s="34">
        <f>SUMIF('Hoist 1'!$B:$B,Lists!$A$19,'Hoist 1'!$I:$I)</f>
        <v>0</v>
      </c>
      <c r="DH30" s="34">
        <f>SUMIF('Hoist 1'!$B:$B,Lists!$A$20,'Hoist 1'!$C:$C)</f>
        <v>0</v>
      </c>
      <c r="DI30" s="34">
        <f>SUMIF('Hoist 1'!$B:$B,Lists!$A$20,'Hoist 1'!$E:$E)</f>
        <v>0</v>
      </c>
      <c r="DJ30" s="34">
        <f>SUMIF('Hoist 1'!$B:$B,Lists!$A$20,'Hoist 1'!$F:$F)</f>
        <v>0</v>
      </c>
      <c r="DK30" s="34">
        <f>SUMIF('Hoist 1'!$B:$B,Lists!$A$20,'Hoist 1'!$G:$G)</f>
        <v>0</v>
      </c>
      <c r="DL30" s="34">
        <f>SUMIF('Hoist 1'!$B:$B,Lists!$A$20,'Hoist 1'!$H:$H)</f>
        <v>0</v>
      </c>
      <c r="DM30" s="34">
        <f>SUMIF('Hoist 1'!$B:$B,Lists!$A$20,'Hoist 1'!$I:$I)</f>
        <v>0</v>
      </c>
      <c r="DN30" s="34">
        <f>SUMIF('Hoist 1'!$B:$B,Lists!$A$21,'Hoist 1'!$C:$C)</f>
        <v>0</v>
      </c>
      <c r="DO30" s="34">
        <f>SUMIF('Hoist 1'!$B:$B,Lists!$A$21,'Hoist 1'!$E:$E)</f>
        <v>0</v>
      </c>
      <c r="DP30" s="34">
        <f>SUMIF('Hoist 1'!$B:$B,Lists!$A$21,'Hoist 1'!$F:$F)</f>
        <v>0</v>
      </c>
      <c r="DQ30" s="34">
        <f>SUMIF('Hoist 1'!$B:$B,Lists!$A$21,'Hoist 1'!$G:$G)</f>
        <v>0</v>
      </c>
      <c r="DR30" s="34">
        <f>SUMIF('Hoist 1'!$B:$B,Lists!$A$21,'Hoist 1'!$H:$H)</f>
        <v>0</v>
      </c>
      <c r="DS30" s="34">
        <f>SUMIF('Hoist 1'!$B:$B,Lists!$A$21,'Hoist 1'!$I:$I)</f>
        <v>0</v>
      </c>
      <c r="DT30" s="34">
        <f>SUMIF('Hoist 1'!$B:$B,Lists!$A$22,'Hoist 1'!$C:$C)</f>
        <v>0</v>
      </c>
      <c r="DU30" s="34">
        <f>SUMIF('Hoist 1'!$B:$B,Lists!$A$22,'Hoist 1'!$E:$E)</f>
        <v>0</v>
      </c>
      <c r="DV30" s="34">
        <f>SUMIF('Hoist 1'!$B:$B,Lists!$A$22,'Hoist 1'!$F:$F)</f>
        <v>0</v>
      </c>
      <c r="DW30" s="34">
        <f>SUMIF('Hoist 1'!$B:$B,Lists!$A$22,'Hoist 1'!$G:$G)</f>
        <v>0</v>
      </c>
      <c r="DX30" s="34">
        <f>SUMIF('Hoist 1'!$B:$B,Lists!$A$22,'Hoist 1'!$H:$H)</f>
        <v>0</v>
      </c>
      <c r="DY30" s="34">
        <f>SUMIF('Hoist 1'!$B:$B,Lists!$A$22,'Hoist 1'!$I:$I)</f>
        <v>0</v>
      </c>
      <c r="DZ30" s="34">
        <f>SUMIF('Hoist 1'!$B:$B,Lists!$A$23,'Hoist 1'!$C:$C)</f>
        <v>0</v>
      </c>
      <c r="EA30" s="34">
        <f>SUMIF('Hoist 1'!$B:$B,Lists!$A$23,'Hoist 1'!$E:$E)</f>
        <v>0</v>
      </c>
      <c r="EB30" s="34">
        <f>SUMIF('Hoist 1'!$B:$B,Lists!$A$23,'Hoist 1'!$F:$F)</f>
        <v>0</v>
      </c>
      <c r="EC30" s="34">
        <f>SUMIF('Hoist 1'!$B:$B,Lists!$A$23,'Hoist 1'!$G:$G)</f>
        <v>0</v>
      </c>
      <c r="ED30" s="34">
        <f>SUMIF('Hoist 1'!$B:$B,Lists!$A$23,'Hoist 1'!$H:$H)</f>
        <v>0</v>
      </c>
      <c r="EE30" s="34">
        <f>SUMIF('Hoist 1'!$B:$B,Lists!$A$23,'Hoist 1'!$I:$I)</f>
        <v>0</v>
      </c>
      <c r="EF30" s="34">
        <f>SUMIF('Hoist 1'!$B:$B,Lists!$A$24,'Hoist 1'!$C:$C)</f>
        <v>0</v>
      </c>
      <c r="EG30" s="34">
        <f>SUMIF('Hoist 1'!$B:$B,Lists!$A$24,'Hoist 1'!$E:$E)</f>
        <v>0</v>
      </c>
      <c r="EH30" s="34">
        <f>SUMIF('Hoist 1'!$B:$B,Lists!$A$24,'Hoist 1'!$F:$F)</f>
        <v>0</v>
      </c>
      <c r="EI30" s="34">
        <f>SUMIF('Hoist 1'!$B:$B,Lists!$A$24,'Hoist 1'!$G:$G)</f>
        <v>0</v>
      </c>
      <c r="EJ30" s="34">
        <f>SUMIF('Hoist 1'!$B:$B,Lists!$A$24,'Hoist 1'!$H:$H)</f>
        <v>0</v>
      </c>
      <c r="EK30" s="34">
        <f>SUMIF('Hoist 1'!$B:$B,Lists!$A$24,'Hoist 1'!$I:$I)</f>
        <v>0</v>
      </c>
      <c r="EL30" s="34">
        <f>SUMIF('Hoist 1'!$B:$B,Lists!$A$25,'Hoist 1'!$C:$C)</f>
        <v>0</v>
      </c>
      <c r="EM30" s="34">
        <f>SUMIF('Hoist 1'!$B:$B,Lists!$A$25,'Hoist 1'!$E:$E)</f>
        <v>0</v>
      </c>
      <c r="EN30" s="34">
        <f>SUMIF('Hoist 1'!$B:$B,Lists!$A$25,'Hoist 1'!$F:$F)</f>
        <v>0</v>
      </c>
      <c r="EO30" s="34">
        <f>SUMIF('Hoist 1'!$B:$B,Lists!$A$25,'Hoist 1'!$G:$G)</f>
        <v>0</v>
      </c>
      <c r="EP30" s="34">
        <f>SUMIF('Hoist 1'!$B:$B,Lists!$A$25,'Hoist 1'!$H:$H)</f>
        <v>0</v>
      </c>
      <c r="EQ30" s="34">
        <f>SUMIF('Hoist 1'!$B:$B,Lists!$A$25,'Hoist 1'!$I:$I)</f>
        <v>0</v>
      </c>
      <c r="ER30" s="34">
        <f>SUMIF('Hoist 1'!$B:$B,Lists!$A$26,'Hoist 1'!$C:$C)</f>
        <v>0</v>
      </c>
      <c r="ES30" s="34">
        <f>SUMIF('Hoist 1'!$B:$B,Lists!$A$26,'Hoist 1'!$E:$E)</f>
        <v>0</v>
      </c>
      <c r="ET30" s="34">
        <f>SUMIF('Hoist 1'!$B:$B,Lists!$A$26,'Hoist 1'!$F:$F)</f>
        <v>0</v>
      </c>
      <c r="EU30" s="34">
        <f>SUMIF('Hoist 1'!$B:$B,Lists!$A$26,'Hoist 1'!$G:$G)</f>
        <v>0</v>
      </c>
      <c r="EV30" s="34">
        <f>SUMIF('Hoist 1'!$B:$B,Lists!$A$26,'Hoist 1'!$H:$H)</f>
        <v>0</v>
      </c>
      <c r="EW30" s="34">
        <f>SUMIF('Hoist 1'!$B:$B,Lists!$A$26,'Hoist 1'!$I:$I)</f>
        <v>0</v>
      </c>
      <c r="EX30" s="34">
        <f>SUMIF('Hoist 1'!$B:$B,Lists!$A$27,'Hoist 1'!$C:$C)</f>
        <v>0</v>
      </c>
      <c r="EY30" s="34">
        <f>SUMIF('Hoist 1'!$B:$B,Lists!$A$27,'Hoist 1'!$E:$E)</f>
        <v>0</v>
      </c>
      <c r="EZ30" s="34">
        <f>SUMIF('Hoist 1'!$B:$B,Lists!$A$27,'Hoist 1'!$F:$F)</f>
        <v>0</v>
      </c>
      <c r="FA30" s="34">
        <f>SUMIF('Hoist 1'!$B:$B,Lists!$A$27,'Hoist 1'!$G:$G)</f>
        <v>0</v>
      </c>
      <c r="FB30" s="34">
        <f>SUMIF('Hoist 1'!$B:$B,Lists!$A$27,'Hoist 1'!$H:$H)</f>
        <v>0</v>
      </c>
      <c r="FC30" s="34">
        <f>SUMIF('Hoist 1'!$B:$B,Lists!$A$27,'Hoist 1'!$I:$I)</f>
        <v>0</v>
      </c>
      <c r="FD30" s="34">
        <f>SUMIF('Hoist 1'!$B:$B,Lists!$A$28,'Hoist 1'!$C:$C)</f>
        <v>0</v>
      </c>
      <c r="FE30" s="34">
        <f>SUMIF('Hoist 1'!$B:$B,Lists!$A$28,'Hoist 1'!$E:$E)</f>
        <v>0</v>
      </c>
      <c r="FF30" s="34">
        <f>SUMIF('Hoist 1'!$B:$B,Lists!$A$28,'Hoist 1'!$F:$F)</f>
        <v>0</v>
      </c>
      <c r="FG30" s="34">
        <f>SUMIF('Hoist 1'!$B:$B,Lists!$A$28,'Hoist 1'!$G:$G)</f>
        <v>0</v>
      </c>
      <c r="FH30" s="34">
        <f>SUMIF('Hoist 1'!$B:$B,Lists!$A$28,'Hoist 1'!$H:$H)</f>
        <v>0</v>
      </c>
      <c r="FI30" s="34">
        <f>SUMIF('Hoist 1'!$B:$B,Lists!$A$28,'Hoist 1'!$I:$I)</f>
        <v>0</v>
      </c>
      <c r="FJ30" s="34">
        <f>SUMIF('Hoist 1'!$B:$B,Lists!$A$29,'Hoist 1'!$C:$C)</f>
        <v>0</v>
      </c>
      <c r="FK30" s="34">
        <f>SUMIF('Hoist 1'!$B:$B,Lists!$A$29,'Hoist 1'!$E:$E)</f>
        <v>0</v>
      </c>
      <c r="FL30" s="34">
        <f>SUMIF('Hoist 1'!$B:$B,Lists!$A$29,'Hoist 1'!$F:$F)</f>
        <v>0</v>
      </c>
      <c r="FM30" s="34">
        <f>SUMIF('Hoist 1'!$B:$B,Lists!$A$29,'Hoist 1'!$G:$G)</f>
        <v>0</v>
      </c>
      <c r="FN30" s="34">
        <f>SUMIF('Hoist 1'!$B:$B,Lists!$A$29,'Hoist 1'!$H:$H)</f>
        <v>0</v>
      </c>
      <c r="FO30" s="34">
        <f>SUMIF('Hoist 1'!$B:$B,Lists!$A$29,'Hoist 1'!$I:$I)</f>
        <v>0</v>
      </c>
      <c r="FP30" s="34">
        <f>SUMIF('Hoist 1'!$B:$B,Lists!$A$30,'Hoist 1'!$C:$C)</f>
        <v>0</v>
      </c>
      <c r="FQ30" s="34">
        <f>SUMIF('Hoist 1'!$B:$B,Lists!$A$30,'Hoist 1'!$E:$E)</f>
        <v>0</v>
      </c>
      <c r="FR30" s="34">
        <f>SUMIF('Hoist 1'!$B:$B,Lists!$A$30,'Hoist 1'!$F:$F)</f>
        <v>0</v>
      </c>
      <c r="FS30" s="34">
        <f>SUMIF('Hoist 1'!$B:$B,Lists!$A$30,'Hoist 1'!$G:$G)</f>
        <v>0</v>
      </c>
      <c r="FT30" s="34">
        <f>SUMIF('Hoist 1'!$B:$B,Lists!$A$30,'Hoist 1'!$H:$H)</f>
        <v>0</v>
      </c>
      <c r="FU30" s="34">
        <f>SUMIF('Hoist 1'!$B:$B,Lists!$A$30,'Hoist 1'!$I:$I)</f>
        <v>0</v>
      </c>
      <c r="FV30" s="34">
        <f>SUMIF('Hoist 1'!$B:$B,Lists!$A$31,'Hoist 1'!$C:$C)</f>
        <v>0</v>
      </c>
      <c r="FW30" s="34">
        <f>SUMIF('Hoist 1'!$B:$B,Lists!$A$31,'Hoist 1'!$E:$E)</f>
        <v>0</v>
      </c>
      <c r="FX30" s="34">
        <f>SUMIF('Hoist 1'!$B:$B,Lists!$A$31,'Hoist 1'!$F:$F)</f>
        <v>0</v>
      </c>
      <c r="FY30" s="34">
        <f>SUMIF('Hoist 1'!$B:$B,Lists!$A$31,'Hoist 1'!$G:$G)</f>
        <v>0</v>
      </c>
      <c r="FZ30" s="34">
        <f>SUMIF('Hoist 1'!$B:$B,Lists!$A$31,'Hoist 1'!$H:$H)</f>
        <v>0</v>
      </c>
      <c r="GA30" s="34">
        <f>SUMIF('Hoist 1'!$B:$B,Lists!$A$31,'Hoist 1'!$I:$I)</f>
        <v>0</v>
      </c>
      <c r="GB30" s="34">
        <f>SUMIF('Hoist 1'!$B:$B,Lists!$A$32,'Hoist 1'!$C:$C)</f>
        <v>0</v>
      </c>
      <c r="GC30" s="34">
        <f>SUMIF('Hoist 1'!$B:$B,Lists!$A$32,'Hoist 1'!$E:$E)</f>
        <v>0</v>
      </c>
      <c r="GD30" s="34">
        <f>SUMIF('Hoist 1'!$B:$B,Lists!$A$32,'Hoist 1'!$F:$F)</f>
        <v>0</v>
      </c>
      <c r="GE30" s="34">
        <f>SUMIF('Hoist 1'!$B:$B,Lists!$A$32,'Hoist 1'!$G:$G)</f>
        <v>0</v>
      </c>
      <c r="GF30" s="34">
        <f>SUMIF('Hoist 1'!$B:$B,Lists!$A$32,'Hoist 1'!$H:$H)</f>
        <v>0</v>
      </c>
      <c r="GG30" s="34">
        <f>SUMIF('Hoist 1'!$B:$B,Lists!$A$32,'Hoist 1'!$I:$I)</f>
        <v>0</v>
      </c>
      <c r="GH30" s="34">
        <f>SUMIF('Hoist 1'!$B:$B,Lists!$A$33,'Hoist 1'!$C:$C)</f>
        <v>0</v>
      </c>
      <c r="GI30" s="34">
        <f>SUMIF('Hoist 1'!$B:$B,Lists!$A$33,'Hoist 1'!$E:$E)</f>
        <v>0</v>
      </c>
      <c r="GJ30" s="34">
        <f>SUMIF('Hoist 1'!$B:$B,Lists!$A$33,'Hoist 1'!$F:$F)</f>
        <v>0</v>
      </c>
      <c r="GK30" s="34">
        <f>SUMIF('Hoist 1'!$B:$B,Lists!$A$33,'Hoist 1'!$G:$G)</f>
        <v>0</v>
      </c>
      <c r="GL30" s="34">
        <f>SUMIF('Hoist 1'!$B:$B,Lists!$A$33,'Hoist 1'!$H:$H)</f>
        <v>0</v>
      </c>
      <c r="GM30" s="34">
        <f>SUMIF('Hoist 1'!$B:$B,Lists!$A$33,'Hoist 1'!$I:$I)</f>
        <v>0</v>
      </c>
      <c r="GN30" s="34">
        <f>SUMIF('Hoist 1'!$B:$B,Lists!$A$34,'Hoist 1'!$C:$C)</f>
        <v>0</v>
      </c>
      <c r="GO30" s="34">
        <f>SUMIF('Hoist 1'!$B:$B,Lists!$A$34,'Hoist 1'!$E:$E)</f>
        <v>0</v>
      </c>
      <c r="GP30" s="34">
        <f>SUMIF('Hoist 1'!$B:$B,Lists!$A$34,'Hoist 1'!$F:$F)</f>
        <v>0</v>
      </c>
      <c r="GQ30" s="34">
        <f>SUMIF('Hoist 1'!$B:$B,Lists!$A$34,'Hoist 1'!$G:$G)</f>
        <v>0</v>
      </c>
      <c r="GR30" s="34">
        <f>SUMIF('Hoist 1'!$B:$B,Lists!$A$34,'Hoist 1'!$H:$H)</f>
        <v>0</v>
      </c>
      <c r="GS30" s="34">
        <f>SUMIF('Hoist 1'!$B:$B,Lists!$A$34,'Hoist 1'!$I:$I)</f>
        <v>0</v>
      </c>
      <c r="GT30" s="34">
        <f>SUMIF('Hoist 1'!$B:$B,Lists!$A$35,'Hoist 1'!$C:$C)</f>
        <v>0</v>
      </c>
      <c r="GU30" s="34">
        <f>SUMIF('Hoist 1'!$B:$B,Lists!$A$35,'Hoist 1'!$E:$E)</f>
        <v>0</v>
      </c>
      <c r="GV30" s="34">
        <f>SUMIF('Hoist 1'!$B:$B,Lists!$A$35,'Hoist 1'!$F:$F)</f>
        <v>0</v>
      </c>
      <c r="GW30" s="34">
        <f>SUMIF('Hoist 1'!$B:$B,Lists!$A$35,'Hoist 1'!$G:$G)</f>
        <v>0</v>
      </c>
      <c r="GX30" s="34">
        <f>SUMIF('Hoist 1'!$B:$B,Lists!$A$35,'Hoist 1'!$H:$H)</f>
        <v>0</v>
      </c>
      <c r="GY30" s="34">
        <f>SUMIF('Hoist 1'!$B:$B,Lists!$A$35,'Hoist 1'!$I:$I)</f>
        <v>0</v>
      </c>
      <c r="GZ30" s="34">
        <f>SUMIF('Hoist 1'!$B:$B,Lists!$A$36,'Hoist 1'!$C:$C)</f>
        <v>0</v>
      </c>
      <c r="HA30" s="34">
        <f>SUMIF('Hoist 1'!$B:$B,Lists!$A$36,'Hoist 1'!$E:$E)</f>
        <v>0</v>
      </c>
      <c r="HB30" s="34">
        <f>SUMIF('Hoist 1'!$B:$B,Lists!$A$36,'Hoist 1'!$F:$F)</f>
        <v>0</v>
      </c>
      <c r="HC30" s="34">
        <f>SUMIF('Hoist 1'!$B:$B,Lists!$A$36,'Hoist 1'!$G:$G)</f>
        <v>0</v>
      </c>
      <c r="HD30" s="34">
        <f>SUMIF('Hoist 1'!$B:$B,Lists!$A$36,'Hoist 1'!$H:$H)</f>
        <v>0</v>
      </c>
      <c r="HE30" s="34">
        <f>SUMIF('Hoist 1'!$B:$B,Lists!$A$36,'Hoist 1'!$I:$I)</f>
        <v>0</v>
      </c>
      <c r="HF30" s="34">
        <f>SUMIF('Hoist 1'!$B:$B,Lists!$A$37,'Hoist 1'!$C:$C)</f>
        <v>0</v>
      </c>
      <c r="HG30" s="34">
        <f>SUMIF('Hoist 1'!$B:$B,Lists!$A$37,'Hoist 1'!$E:$E)</f>
        <v>0</v>
      </c>
      <c r="HH30" s="34">
        <f>SUMIF('Hoist 1'!$B:$B,Lists!$A$37,'Hoist 1'!$F:$F)</f>
        <v>0</v>
      </c>
      <c r="HI30" s="34">
        <f>SUMIF('Hoist 1'!$B:$B,Lists!$A$37,'Hoist 1'!$G:$G)</f>
        <v>0</v>
      </c>
      <c r="HJ30" s="34">
        <f>SUMIF('Hoist 1'!$B:$B,Lists!$A$37,'Hoist 1'!$H:$H)</f>
        <v>0</v>
      </c>
      <c r="HK30" s="34">
        <f>SUMIF('Hoist 1'!$B:$B,Lists!$A$37,'Hoist 1'!$I:$I)</f>
        <v>0</v>
      </c>
      <c r="HL30" s="34">
        <f>SUMIF('Hoist 1'!$B:$B,Lists!$A$38,'Hoist 1'!$C:$C)</f>
        <v>0</v>
      </c>
      <c r="HM30" s="34">
        <f>SUMIF('Hoist 1'!$B:$B,Lists!$A$38,'Hoist 1'!$E:$E)</f>
        <v>0</v>
      </c>
      <c r="HN30" s="34">
        <f>SUMIF('Hoist 1'!$B:$B,Lists!$A$38,'Hoist 1'!$F:$F)</f>
        <v>0</v>
      </c>
      <c r="HO30" s="34">
        <f>SUMIF('Hoist 1'!$B:$B,Lists!$A$38,'Hoist 1'!$G:$G)</f>
        <v>0</v>
      </c>
      <c r="HP30" s="34">
        <f>SUMIF('Hoist 1'!$B:$B,Lists!$A$38,'Hoist 1'!$H:$H)</f>
        <v>0</v>
      </c>
      <c r="HQ30" s="34">
        <f>SUMIF('Hoist 1'!$B:$B,Lists!$A$38,'Hoist 1'!$I:$I)</f>
        <v>0</v>
      </c>
      <c r="HR30" s="34">
        <f>SUMIF('Hoist 1'!$B:$B,Lists!$A$39,'Hoist 1'!$C:$C)</f>
        <v>0</v>
      </c>
      <c r="HS30" s="34">
        <f>SUMIF('Hoist 1'!$B:$B,Lists!$A$39,'Hoist 1'!$E:$E)</f>
        <v>0</v>
      </c>
      <c r="HT30" s="34">
        <f>SUMIF('Hoist 1'!$B:$B,Lists!$A$39,'Hoist 1'!$F:$F)</f>
        <v>0</v>
      </c>
      <c r="HU30" s="34">
        <f>SUMIF('Hoist 1'!$B:$B,Lists!$A$39,'Hoist 1'!$G:$G)</f>
        <v>0</v>
      </c>
      <c r="HV30" s="34">
        <f>SUMIF('Hoist 1'!$B:$B,Lists!$A$39,'Hoist 1'!$H:$H)</f>
        <v>0</v>
      </c>
      <c r="HW30" s="34">
        <f>SUMIF('Hoist 1'!$B:$B,Lists!$A$39,'Hoist 1'!$I:$I)</f>
        <v>0</v>
      </c>
      <c r="HX30" s="34">
        <f>SUMIF('Hoist 1'!$B:$B,Lists!$A$40,'Hoist 1'!$C:$C)</f>
        <v>0</v>
      </c>
      <c r="HY30" s="34">
        <f>SUMIF('Hoist 1'!$B:$B,Lists!$A$40,'Hoist 1'!$E:$E)</f>
        <v>0</v>
      </c>
      <c r="HZ30" s="34">
        <f>SUMIF('Hoist 1'!$B:$B,Lists!$A$40,'Hoist 1'!$F:$F)</f>
        <v>0</v>
      </c>
      <c r="IA30" s="34">
        <f>SUMIF('Hoist 1'!$B:$B,Lists!$A$40,'Hoist 1'!$G:$G)</f>
        <v>0</v>
      </c>
      <c r="IB30" s="34">
        <f>SUMIF('Hoist 1'!$B:$B,Lists!$A$40,'Hoist 1'!$H:$H)</f>
        <v>0</v>
      </c>
      <c r="IC30" s="34">
        <f>SUMIF('Hoist 1'!$B:$B,Lists!$A$40,'Hoist 1'!$I:$I)</f>
        <v>0</v>
      </c>
      <c r="ID30" s="34">
        <f>SUMIF('Hoist 1'!$B:$B,Lists!$A$41,'Hoist 1'!$C:$C)</f>
        <v>0</v>
      </c>
      <c r="IE30" s="34">
        <f>SUMIF('Hoist 1'!$B:$B,Lists!$A$41,'Hoist 1'!$E:$E)</f>
        <v>0</v>
      </c>
      <c r="IF30" s="34">
        <f>SUMIF('Hoist 1'!$B:$B,Lists!$A$41,'Hoist 1'!$F:$F)</f>
        <v>0</v>
      </c>
      <c r="IG30" s="34">
        <f>SUMIF('Hoist 1'!$B:$B,Lists!$A$41,'Hoist 1'!$G:$G)</f>
        <v>0</v>
      </c>
      <c r="IH30" s="34">
        <f>SUMIF('Hoist 1'!$B:$B,Lists!$A$41,'Hoist 1'!$H:$H)</f>
        <v>0</v>
      </c>
      <c r="II30" s="34">
        <f>SUMIF('Hoist 1'!$B:$B,Lists!$A$41,'Hoist 1'!$I:$I)</f>
        <v>0</v>
      </c>
    </row>
    <row r="31" spans="1:243" ht="19.5" customHeight="1" x14ac:dyDescent="0.3">
      <c r="A31" s="35" t="s">
        <v>102</v>
      </c>
      <c r="B31" s="36">
        <f>'Hoist 2'!D2</f>
        <v>46162</v>
      </c>
      <c r="C31" s="37" t="s">
        <v>77</v>
      </c>
      <c r="D31" s="38">
        <f>SUMIF('Hoist 2'!$B:$B,Lists!$A$2,'Hoist 2'!$C:$C)</f>
        <v>156</v>
      </c>
      <c r="E31" s="38">
        <f>SUMIF('Hoist 2'!$B:$B,Lists!$A$2,'Hoist 2'!$E:$E)</f>
        <v>170</v>
      </c>
      <c r="F31" s="38">
        <f>SUMIF('Hoist 2'!$B:$B,Lists!$A$2,'Hoist 2'!$F:$F)</f>
        <v>0</v>
      </c>
      <c r="G31" s="38">
        <f>SUMIF('Hoist 2'!$B:$B,Lists!$A$2,'Hoist 2'!$G:$G)</f>
        <v>0</v>
      </c>
      <c r="H31" s="38">
        <f>SUMIF('Hoist 2'!$B:$B,Lists!$A$2,'Hoist 2'!$H:$H)</f>
        <v>0</v>
      </c>
      <c r="I31" s="38">
        <f>SUMIF('Hoist 2'!$B:$B,Lists!$A$2,'Hoist 2'!$I:$I)</f>
        <v>0</v>
      </c>
      <c r="J31" s="38">
        <f>SUMIF('Hoist 2'!$B:$B,Lists!$A$3,'Hoist 2'!$C:$C)</f>
        <v>0</v>
      </c>
      <c r="K31" s="38">
        <f>SUMIF('Hoist 2'!$B:$B,Lists!$A$3,'Hoist 2'!$E:$E)</f>
        <v>0</v>
      </c>
      <c r="L31" s="38">
        <f>SUMIF('Hoist 2'!$B:$B,Lists!$A$3,'Hoist 2'!$F:$F)</f>
        <v>0</v>
      </c>
      <c r="M31" s="38">
        <f>SUMIF('Hoist 2'!$B:$B,Lists!$A$3,'Hoist 2'!$G:$G)</f>
        <v>0</v>
      </c>
      <c r="N31" s="38">
        <f>SUMIF('Hoist 2'!$B:$B,Lists!$A$3,'Hoist 2'!$H:$H)</f>
        <v>0</v>
      </c>
      <c r="O31" s="38">
        <f>SUMIF('Hoist 2'!$B:$B,Lists!$A$3,'Hoist 2'!$I:$I)</f>
        <v>0</v>
      </c>
      <c r="P31" s="38">
        <f>SUMIF('Hoist 2'!$B:$B,Lists!$A$4,'Hoist 2'!$C:$C)</f>
        <v>0</v>
      </c>
      <c r="Q31" s="38">
        <f>SUMIF('Hoist 2'!$B:$B,Lists!$A$4,'Hoist 2'!$E:$E)</f>
        <v>0</v>
      </c>
      <c r="R31" s="38">
        <f>SUMIF('Hoist 2'!$B:$B,Lists!$A$4,'Hoist 2'!$F:$F)</f>
        <v>0</v>
      </c>
      <c r="S31" s="38">
        <f>SUMIF('Hoist 2'!$B:$B,Lists!$A$4,'Hoist 2'!$G:$G)</f>
        <v>0</v>
      </c>
      <c r="T31" s="38">
        <f>SUMIF('Hoist 2'!$B:$B,Lists!$A$4,'Hoist 2'!$H:$H)</f>
        <v>0</v>
      </c>
      <c r="U31" s="38">
        <f>SUMIF('Hoist 2'!$B:$B,Lists!$A$4,'Hoist 2'!$I:$I)</f>
        <v>0</v>
      </c>
      <c r="V31" s="38">
        <f>SUMIF('Hoist 2'!$B:$B,Lists!$A$5,'Hoist 2'!$C:$C)</f>
        <v>0</v>
      </c>
      <c r="W31" s="38">
        <f>SUMIF('Hoist 2'!$B:$B,Lists!$A$5,'Hoist 2'!$E:$E)</f>
        <v>0</v>
      </c>
      <c r="X31" s="38">
        <f>SUMIF('Hoist 2'!$B:$B,Lists!$A$5,'Hoist 2'!$F:$F)</f>
        <v>0</v>
      </c>
      <c r="Y31" s="38">
        <f>SUMIF('Hoist 2'!$B:$B,Lists!$A$5,'Hoist 2'!$G:$G)</f>
        <v>0</v>
      </c>
      <c r="Z31" s="38">
        <f>SUMIF('Hoist 2'!$B:$B,Lists!$A$5,'Hoist 2'!$H:$H)</f>
        <v>0</v>
      </c>
      <c r="AA31" s="38">
        <f>SUMIF('Hoist 2'!$B:$B,Lists!$A$5,'Hoist 2'!$I:$I)</f>
        <v>0</v>
      </c>
      <c r="AB31" s="38">
        <f>SUMIF('Hoist 2'!$B:$B,Lists!$A$6,'Hoist 2'!$C:$C)</f>
        <v>0</v>
      </c>
      <c r="AC31" s="38">
        <f>SUMIF('Hoist 2'!$B:$B,Lists!$A$6,'Hoist 2'!$E:$E)</f>
        <v>0</v>
      </c>
      <c r="AD31" s="38">
        <f>SUMIF('Hoist 2'!$B:$B,Lists!$A$6,'Hoist 2'!$F:$F)</f>
        <v>0</v>
      </c>
      <c r="AE31" s="38">
        <f>SUMIF('Hoist 2'!$B:$B,Lists!$A$6,'Hoist 2'!$G:$G)</f>
        <v>0</v>
      </c>
      <c r="AF31" s="38">
        <f>SUMIF('Hoist 2'!$B:$B,Lists!$A$6,'Hoist 2'!$H:$H)</f>
        <v>0</v>
      </c>
      <c r="AG31" s="38">
        <f>SUMIF('Hoist 2'!$B:$B,Lists!$A$6,'Hoist 2'!$I:$I)</f>
        <v>0</v>
      </c>
      <c r="AH31" s="38">
        <f>SUMIF('Hoist 2'!$B:$B,Lists!$A$7,'Hoist 2'!$C:$C)</f>
        <v>0</v>
      </c>
      <c r="AI31" s="38">
        <f>SUMIF('Hoist 2'!$B:$B,Lists!$A$7,'Hoist 2'!$E:$E)</f>
        <v>0</v>
      </c>
      <c r="AJ31" s="38">
        <f>SUMIF('Hoist 2'!$B:$B,Lists!$A$7,'Hoist 2'!$F:$F)</f>
        <v>0</v>
      </c>
      <c r="AK31" s="38">
        <f>SUMIF('Hoist 2'!$B:$B,Lists!$A$7,'Hoist 2'!$G:$G)</f>
        <v>0</v>
      </c>
      <c r="AL31" s="38">
        <f>SUMIF('Hoist 2'!$B:$B,Lists!$A$7,'Hoist 2'!$H:$H)</f>
        <v>0</v>
      </c>
      <c r="AM31" s="38">
        <f>SUMIF('Hoist 2'!$B:$B,Lists!$A$7,'Hoist 2'!$I:$I)</f>
        <v>0</v>
      </c>
      <c r="AN31" s="38">
        <f>SUMIF('Hoist 2'!$B:$B,Lists!$A$8,'Hoist 2'!$C:$C)</f>
        <v>0</v>
      </c>
      <c r="AO31" s="38">
        <f>SUMIF('Hoist 2'!$B:$B,Lists!$A$8,'Hoist 2'!$E:$E)</f>
        <v>0</v>
      </c>
      <c r="AP31" s="38">
        <f>SUMIF('Hoist 2'!$B:$B,Lists!$A$8,'Hoist 2'!$F:$F)</f>
        <v>0</v>
      </c>
      <c r="AQ31" s="38">
        <f>SUMIF('Hoist 2'!$B:$B,Lists!$A$8,'Hoist 2'!$G:$G)</f>
        <v>0</v>
      </c>
      <c r="AR31" s="38">
        <f>SUMIF('Hoist 2'!$B:$B,Lists!$A$8,'Hoist 2'!$H:$H)</f>
        <v>0</v>
      </c>
      <c r="AS31" s="38">
        <f>SUMIF('Hoist 2'!$B:$B,Lists!$A$8,'Hoist 2'!$I:$I)</f>
        <v>0</v>
      </c>
      <c r="AT31" s="38">
        <f>SUMIF('Hoist 2'!$B:$B,Lists!$A$9,'Hoist 2'!$C:$C)</f>
        <v>0</v>
      </c>
      <c r="AU31" s="38">
        <f>SUMIF('Hoist 2'!$B:$B,Lists!$A$9,'Hoist 2'!$E:$E)</f>
        <v>0</v>
      </c>
      <c r="AV31" s="38">
        <f>SUMIF('Hoist 2'!$B:$B,Lists!$A$9,'Hoist 2'!$F:$F)</f>
        <v>0</v>
      </c>
      <c r="AW31" s="38">
        <f>SUMIF('Hoist 2'!$B:$B,Lists!$A$9,'Hoist 2'!$G:$G)</f>
        <v>0</v>
      </c>
      <c r="AX31" s="38">
        <f>SUMIF('Hoist 2'!$B:$B,Lists!$A$9,'Hoist 2'!$H:$H)</f>
        <v>0</v>
      </c>
      <c r="AY31" s="38">
        <f>SUMIF('Hoist 2'!$B:$B,Lists!$A$9,'Hoist 2'!$I:$I)</f>
        <v>0</v>
      </c>
      <c r="AZ31" s="38">
        <f>SUMIF('Hoist 2'!$B:$B,Lists!$A$10,'Hoist 2'!$C:$C)</f>
        <v>0</v>
      </c>
      <c r="BA31" s="38">
        <f>SUMIF('Hoist 2'!$B:$B,Lists!$A$10,'Hoist 2'!$E:$E)</f>
        <v>0</v>
      </c>
      <c r="BB31" s="38">
        <f>SUMIF('Hoist 2'!$B:$B,Lists!$A$10,'Hoist 2'!$F:$F)</f>
        <v>0</v>
      </c>
      <c r="BC31" s="38">
        <f>SUMIF('Hoist 2'!$B:$B,Lists!$A$10,'Hoist 2'!$G:$G)</f>
        <v>0</v>
      </c>
      <c r="BD31" s="38">
        <f>SUMIF('Hoist 2'!$B:$B,Lists!$A$10,'Hoist 2'!$H:$H)</f>
        <v>0</v>
      </c>
      <c r="BE31" s="38">
        <f>SUMIF('Hoist 2'!$B:$B,Lists!$A$10,'Hoist 2'!$I:$I)</f>
        <v>0</v>
      </c>
      <c r="BF31" s="38">
        <f>SUMIF('Hoist 2'!$B:$B,Lists!$A$11,'Hoist 2'!$C:$C)</f>
        <v>0</v>
      </c>
      <c r="BG31" s="38">
        <f>SUMIF('Hoist 2'!$B:$B,Lists!$A$11,'Hoist 2'!$E:$E)</f>
        <v>0</v>
      </c>
      <c r="BH31" s="38">
        <f>SUMIF('Hoist 2'!$B:$B,Lists!$A$11,'Hoist 2'!$F:$F)</f>
        <v>0</v>
      </c>
      <c r="BI31" s="38">
        <f>SUMIF('Hoist 2'!$B:$B,Lists!$A$11,'Hoist 2'!$G:$G)</f>
        <v>0</v>
      </c>
      <c r="BJ31" s="38">
        <f>SUMIF('Hoist 2'!$B:$B,Lists!$A$11,'Hoist 2'!$H:$H)</f>
        <v>0</v>
      </c>
      <c r="BK31" s="38">
        <f>SUMIF('Hoist 2'!$B:$B,Lists!$A$11,'Hoist 2'!$I:$I)</f>
        <v>0</v>
      </c>
      <c r="BL31" s="38">
        <f>SUMIF('Hoist 2'!$B:$B,Lists!$A$12,'Hoist 2'!$C:$C)</f>
        <v>0</v>
      </c>
      <c r="BM31" s="38">
        <f>SUMIF('Hoist 2'!$B:$B,Lists!$A$12,'Hoist 2'!$E:$E)</f>
        <v>0</v>
      </c>
      <c r="BN31" s="38">
        <f>SUMIF('Hoist 2'!$B:$B,Lists!$A$12,'Hoist 2'!$F:$F)</f>
        <v>0</v>
      </c>
      <c r="BO31" s="38">
        <f>SUMIF('Hoist 2'!$B:$B,Lists!$A$12,'Hoist 2'!$G:$G)</f>
        <v>0</v>
      </c>
      <c r="BP31" s="38">
        <f>SUMIF('Hoist 2'!$B:$B,Lists!$A$12,'Hoist 2'!$H:$H)</f>
        <v>0</v>
      </c>
      <c r="BQ31" s="38">
        <f>SUMIF('Hoist 2'!$B:$B,Lists!$A$12,'Hoist 2'!$I:$I)</f>
        <v>0</v>
      </c>
      <c r="BR31" s="38">
        <f>SUMIF('Hoist 2'!$B:$B,Lists!$A$13,'Hoist 2'!$C:$C)</f>
        <v>0</v>
      </c>
      <c r="BS31" s="38">
        <f>SUMIF('Hoist 2'!$B:$B,Lists!$A$13,'Hoist 2'!$E:$E)</f>
        <v>0</v>
      </c>
      <c r="BT31" s="38">
        <f>SUMIF('Hoist 2'!$B:$B,Lists!$A$13,'Hoist 2'!$F:$F)</f>
        <v>0</v>
      </c>
      <c r="BU31" s="38">
        <f>SUMIF('Hoist 2'!$B:$B,Lists!$A$13,'Hoist 2'!$G:$G)</f>
        <v>0</v>
      </c>
      <c r="BV31" s="38">
        <f>SUMIF('Hoist 2'!$B:$B,Lists!$A$13,'Hoist 2'!$H:$H)</f>
        <v>0</v>
      </c>
      <c r="BW31" s="38">
        <f>SUMIF('Hoist 2'!$B:$B,Lists!$A$13,'Hoist 2'!$I:$I)</f>
        <v>0</v>
      </c>
      <c r="BX31" s="38">
        <f>SUMIF('Hoist 2'!$B:$B,Lists!$A$14,'Hoist 2'!$C:$C)</f>
        <v>0</v>
      </c>
      <c r="BY31" s="38">
        <f>SUMIF('Hoist 2'!$B:$B,Lists!$A$14,'Hoist 2'!$E:$E)</f>
        <v>0</v>
      </c>
      <c r="BZ31" s="38">
        <f>SUMIF('Hoist 2'!$B:$B,Lists!$A$14,'Hoist 2'!$F:$F)</f>
        <v>0</v>
      </c>
      <c r="CA31" s="38">
        <f>SUMIF('Hoist 2'!$B:$B,Lists!$A$14,'Hoist 2'!$G:$G)</f>
        <v>0</v>
      </c>
      <c r="CB31" s="38">
        <f>SUMIF('Hoist 2'!$B:$B,Lists!$A$14,'Hoist 2'!$H:$H)</f>
        <v>0</v>
      </c>
      <c r="CC31" s="38">
        <f>SUMIF('Hoist 2'!$B:$B,Lists!$A$14,'Hoist 2'!$I:$I)</f>
        <v>0</v>
      </c>
      <c r="CD31" s="38">
        <f>SUMIF('Hoist 2'!$B:$B,Lists!$A$15,'Hoist 2'!$C:$C)</f>
        <v>0</v>
      </c>
      <c r="CE31" s="38">
        <f>SUMIF('Hoist 2'!$B:$B,Lists!$A$15,'Hoist 2'!$E:$E)</f>
        <v>8</v>
      </c>
      <c r="CF31" s="38">
        <f>SUMIF('Hoist 2'!$B:$B,Lists!$A$15,'Hoist 2'!$F:$F)</f>
        <v>0</v>
      </c>
      <c r="CG31" s="38">
        <f>SUMIF('Hoist 2'!$B:$B,Lists!$A$15,'Hoist 2'!$G:$G)</f>
        <v>0</v>
      </c>
      <c r="CH31" s="38">
        <f>SUMIF('Hoist 2'!$B:$B,Lists!$A$15,'Hoist 2'!$H:$H)</f>
        <v>0</v>
      </c>
      <c r="CI31" s="38">
        <f>SUMIF('Hoist 2'!$B:$B,Lists!$A$15,'Hoist 2'!$I:$I)</f>
        <v>0</v>
      </c>
      <c r="CJ31" s="38">
        <f>SUMIF('Hoist 2'!$B:$B,Lists!$A$16,'Hoist 2'!$C:$C)</f>
        <v>31</v>
      </c>
      <c r="CK31" s="38">
        <f>SUMIF('Hoist 2'!$B:$B,Lists!$A$16,'Hoist 2'!$E:$E)</f>
        <v>0</v>
      </c>
      <c r="CL31" s="38">
        <f>SUMIF('Hoist 2'!$B:$B,Lists!$A$16,'Hoist 2'!$F:$F)</f>
        <v>0</v>
      </c>
      <c r="CM31" s="38">
        <f>SUMIF('Hoist 2'!$B:$B,Lists!$A$16,'Hoist 2'!$G:$G)</f>
        <v>0</v>
      </c>
      <c r="CN31" s="38">
        <f>SUMIF('Hoist 2'!$B:$B,Lists!$A$16,'Hoist 2'!$H:$H)</f>
        <v>0</v>
      </c>
      <c r="CO31" s="38">
        <f>SUMIF('Hoist 2'!$B:$B,Lists!$A$16,'Hoist 2'!$I:$I)</f>
        <v>0</v>
      </c>
      <c r="CP31" s="38">
        <f>SUMIF('Hoist 2'!$B:$B,Lists!$A$17,'Hoist 2'!$C:$C)</f>
        <v>0</v>
      </c>
      <c r="CQ31" s="38">
        <f>SUMIF('Hoist 2'!$B:$B,Lists!$A$17,'Hoist 2'!$E:$E)</f>
        <v>0</v>
      </c>
      <c r="CR31" s="38">
        <f>SUMIF('Hoist 2'!$B:$B,Lists!$A$17,'Hoist 2'!$F:$F)</f>
        <v>0</v>
      </c>
      <c r="CS31" s="38">
        <f>SUMIF('Hoist 2'!$B:$B,Lists!$A$17,'Hoist 2'!$G:$G)</f>
        <v>0</v>
      </c>
      <c r="CT31" s="38">
        <f>SUMIF('Hoist 2'!$B:$B,Lists!$A$17,'Hoist 2'!$H:$H)</f>
        <v>0</v>
      </c>
      <c r="CU31" s="38">
        <f>SUMIF('Hoist 2'!$B:$B,Lists!$A$17,'Hoist 2'!$I:$I)</f>
        <v>0</v>
      </c>
      <c r="CV31" s="38">
        <f>SUMIF('Hoist 2'!$B:$B,Lists!$A$18,'Hoist 2'!$C:$C)</f>
        <v>0</v>
      </c>
      <c r="CW31" s="38">
        <f>SUMIF('Hoist 2'!$B:$B,Lists!$A$18,'Hoist 2'!$E:$E)</f>
        <v>0</v>
      </c>
      <c r="CX31" s="38">
        <f>SUMIF('Hoist 2'!$B:$B,Lists!$A$18,'Hoist 2'!$F:$F)</f>
        <v>0</v>
      </c>
      <c r="CY31" s="38">
        <f>SUMIF('Hoist 2'!$B:$B,Lists!$A$18,'Hoist 2'!$G:$G)</f>
        <v>0</v>
      </c>
      <c r="CZ31" s="38">
        <f>SUMIF('Hoist 2'!$B:$B,Lists!$A$18,'Hoist 2'!$H:$H)</f>
        <v>0</v>
      </c>
      <c r="DA31" s="38">
        <f>SUMIF('Hoist 2'!$B:$B,Lists!$A$18,'Hoist 2'!$I:$I)</f>
        <v>0</v>
      </c>
      <c r="DB31" s="38">
        <f>SUMIF('Hoist 2'!$B:$B,Lists!$A$19,'Hoist 2'!$C:$C)</f>
        <v>0</v>
      </c>
      <c r="DC31" s="38">
        <f>SUMIF('Hoist 2'!$B:$B,Lists!$A$19,'Hoist 2'!$E:$E)</f>
        <v>0</v>
      </c>
      <c r="DD31" s="38">
        <f>SUMIF('Hoist 2'!$B:$B,Lists!$A$19,'Hoist 2'!$F:$F)</f>
        <v>0</v>
      </c>
      <c r="DE31" s="38">
        <f>SUMIF('Hoist 2'!$B:$B,Lists!$A$19,'Hoist 2'!$G:$G)</f>
        <v>0</v>
      </c>
      <c r="DF31" s="38">
        <f>SUMIF('Hoist 2'!$B:$B,Lists!$A$19,'Hoist 2'!$H:$H)</f>
        <v>0</v>
      </c>
      <c r="DG31" s="38">
        <f>SUMIF('Hoist 2'!$B:$B,Lists!$A$19,'Hoist 2'!$I:$I)</f>
        <v>0</v>
      </c>
      <c r="DH31" s="38">
        <f>SUMIF('Hoist 2'!$B:$B,Lists!$A$20,'Hoist 2'!$C:$C)</f>
        <v>0</v>
      </c>
      <c r="DI31" s="38">
        <f>SUMIF('Hoist 2'!$B:$B,Lists!$A$20,'Hoist 2'!$E:$E)</f>
        <v>0</v>
      </c>
      <c r="DJ31" s="38">
        <f>SUMIF('Hoist 2'!$B:$B,Lists!$A$20,'Hoist 2'!$F:$F)</f>
        <v>0</v>
      </c>
      <c r="DK31" s="38">
        <f>SUMIF('Hoist 2'!$B:$B,Lists!$A$20,'Hoist 2'!$G:$G)</f>
        <v>0</v>
      </c>
      <c r="DL31" s="38">
        <f>SUMIF('Hoist 2'!$B:$B,Lists!$A$20,'Hoist 2'!$H:$H)</f>
        <v>0</v>
      </c>
      <c r="DM31" s="38">
        <f>SUMIF('Hoist 2'!$B:$B,Lists!$A$20,'Hoist 2'!$I:$I)</f>
        <v>0</v>
      </c>
      <c r="DN31" s="38">
        <f>SUMIF('Hoist 2'!$B:$B,Lists!$A$21,'Hoist 2'!$C:$C)</f>
        <v>0</v>
      </c>
      <c r="DO31" s="38">
        <f>SUMIF('Hoist 2'!$B:$B,Lists!$A$21,'Hoist 2'!$E:$E)</f>
        <v>0</v>
      </c>
      <c r="DP31" s="38">
        <f>SUMIF('Hoist 2'!$B:$B,Lists!$A$21,'Hoist 2'!$F:$F)</f>
        <v>0</v>
      </c>
      <c r="DQ31" s="38">
        <f>SUMIF('Hoist 2'!$B:$B,Lists!$A$21,'Hoist 2'!$G:$G)</f>
        <v>0</v>
      </c>
      <c r="DR31" s="38">
        <f>SUMIF('Hoist 2'!$B:$B,Lists!$A$21,'Hoist 2'!$H:$H)</f>
        <v>0</v>
      </c>
      <c r="DS31" s="38">
        <f>SUMIF('Hoist 2'!$B:$B,Lists!$A$21,'Hoist 2'!$I:$I)</f>
        <v>0</v>
      </c>
      <c r="DT31" s="38">
        <f>SUMIF('Hoist 2'!$B:$B,Lists!$A$22,'Hoist 2'!$C:$C)</f>
        <v>0</v>
      </c>
      <c r="DU31" s="38">
        <f>SUMIF('Hoist 2'!$B:$B,Lists!$A$22,'Hoist 2'!$E:$E)</f>
        <v>0</v>
      </c>
      <c r="DV31" s="38">
        <f>SUMIF('Hoist 2'!$B:$B,Lists!$A$22,'Hoist 2'!$F:$F)</f>
        <v>0</v>
      </c>
      <c r="DW31" s="38">
        <f>SUMIF('Hoist 2'!$B:$B,Lists!$A$22,'Hoist 2'!$G:$G)</f>
        <v>0</v>
      </c>
      <c r="DX31" s="38">
        <f>SUMIF('Hoist 2'!$B:$B,Lists!$A$22,'Hoist 2'!$H:$H)</f>
        <v>0</v>
      </c>
      <c r="DY31" s="38">
        <f>SUMIF('Hoist 2'!$B:$B,Lists!$A$22,'Hoist 2'!$I:$I)</f>
        <v>0</v>
      </c>
      <c r="DZ31" s="38">
        <f>SUMIF('Hoist 2'!$B:$B,Lists!$A$23,'Hoist 2'!$C:$C)</f>
        <v>0</v>
      </c>
      <c r="EA31" s="38">
        <f>SUMIF('Hoist 2'!$B:$B,Lists!$A$23,'Hoist 2'!$E:$E)</f>
        <v>0</v>
      </c>
      <c r="EB31" s="38">
        <f>SUMIF('Hoist 2'!$B:$B,Lists!$A$23,'Hoist 2'!$F:$F)</f>
        <v>0</v>
      </c>
      <c r="EC31" s="38">
        <f>SUMIF('Hoist 2'!$B:$B,Lists!$A$23,'Hoist 2'!$G:$G)</f>
        <v>0</v>
      </c>
      <c r="ED31" s="38">
        <f>SUMIF('Hoist 2'!$B:$B,Lists!$A$23,'Hoist 2'!$H:$H)</f>
        <v>0</v>
      </c>
      <c r="EE31" s="38">
        <f>SUMIF('Hoist 2'!$B:$B,Lists!$A$23,'Hoist 2'!$I:$I)</f>
        <v>0</v>
      </c>
      <c r="EF31" s="38">
        <f>SUMIF('Hoist 2'!$B:$B,Lists!$A$24,'Hoist 2'!$C:$C)</f>
        <v>0</v>
      </c>
      <c r="EG31" s="38">
        <f>SUMIF('Hoist 2'!$B:$B,Lists!$A$24,'Hoist 2'!$E:$E)</f>
        <v>0</v>
      </c>
      <c r="EH31" s="38">
        <f>SUMIF('Hoist 2'!$B:$B,Lists!$A$24,'Hoist 2'!$F:$F)</f>
        <v>0</v>
      </c>
      <c r="EI31" s="38">
        <f>SUMIF('Hoist 2'!$B:$B,Lists!$A$24,'Hoist 2'!$G:$G)</f>
        <v>0</v>
      </c>
      <c r="EJ31" s="38">
        <f>SUMIF('Hoist 2'!$B:$B,Lists!$A$24,'Hoist 2'!$H:$H)</f>
        <v>0</v>
      </c>
      <c r="EK31" s="38">
        <f>SUMIF('Hoist 2'!$B:$B,Lists!$A$24,'Hoist 2'!$I:$I)</f>
        <v>0</v>
      </c>
      <c r="EL31" s="38">
        <f>SUMIF('Hoist 2'!$B:$B,Lists!$A$25,'Hoist 2'!$C:$C)</f>
        <v>0</v>
      </c>
      <c r="EM31" s="38">
        <f>SUMIF('Hoist 2'!$B:$B,Lists!$A$25,'Hoist 2'!$E:$E)</f>
        <v>0</v>
      </c>
      <c r="EN31" s="38">
        <f>SUMIF('Hoist 2'!$B:$B,Lists!$A$25,'Hoist 2'!$F:$F)</f>
        <v>0</v>
      </c>
      <c r="EO31" s="38">
        <f>SUMIF('Hoist 2'!$B:$B,Lists!$A$25,'Hoist 2'!$G:$G)</f>
        <v>0</v>
      </c>
      <c r="EP31" s="38">
        <f>SUMIF('Hoist 2'!$B:$B,Lists!$A$25,'Hoist 2'!$H:$H)</f>
        <v>0</v>
      </c>
      <c r="EQ31" s="38">
        <f>SUMIF('Hoist 2'!$B:$B,Lists!$A$25,'Hoist 2'!$I:$I)</f>
        <v>0</v>
      </c>
      <c r="ER31" s="38">
        <f>SUMIF('Hoist 2'!$B:$B,Lists!$A$26,'Hoist 2'!$C:$C)</f>
        <v>0</v>
      </c>
      <c r="ES31" s="38">
        <f>SUMIF('Hoist 2'!$B:$B,Lists!$A$26,'Hoist 2'!$E:$E)</f>
        <v>0</v>
      </c>
      <c r="ET31" s="38">
        <f>SUMIF('Hoist 2'!$B:$B,Lists!$A$26,'Hoist 2'!$F:$F)</f>
        <v>0</v>
      </c>
      <c r="EU31" s="38">
        <f>SUMIF('Hoist 2'!$B:$B,Lists!$A$26,'Hoist 2'!$G:$G)</f>
        <v>0</v>
      </c>
      <c r="EV31" s="38">
        <f>SUMIF('Hoist 2'!$B:$B,Lists!$A$26,'Hoist 2'!$H:$H)</f>
        <v>0</v>
      </c>
      <c r="EW31" s="38">
        <f>SUMIF('Hoist 2'!$B:$B,Lists!$A$26,'Hoist 2'!$I:$I)</f>
        <v>0</v>
      </c>
      <c r="EX31" s="38">
        <f>SUMIF('Hoist 2'!$B:$B,Lists!$A$27,'Hoist 2'!$C:$C)</f>
        <v>0</v>
      </c>
      <c r="EY31" s="38">
        <f>SUMIF('Hoist 2'!$B:$B,Lists!$A$27,'Hoist 2'!$E:$E)</f>
        <v>0</v>
      </c>
      <c r="EZ31" s="38">
        <f>SUMIF('Hoist 2'!$B:$B,Lists!$A$27,'Hoist 2'!$F:$F)</f>
        <v>0</v>
      </c>
      <c r="FA31" s="38">
        <f>SUMIF('Hoist 2'!$B:$B,Lists!$A$27,'Hoist 2'!$G:$G)</f>
        <v>0</v>
      </c>
      <c r="FB31" s="38">
        <f>SUMIF('Hoist 2'!$B:$B,Lists!$A$27,'Hoist 2'!$H:$H)</f>
        <v>0</v>
      </c>
      <c r="FC31" s="38">
        <f>SUMIF('Hoist 2'!$B:$B,Lists!$A$27,'Hoist 2'!$I:$I)</f>
        <v>0</v>
      </c>
      <c r="FD31" s="38">
        <f>SUMIF('Hoist 2'!$B:$B,Lists!$A$28,'Hoist 2'!$C:$C)</f>
        <v>0</v>
      </c>
      <c r="FE31" s="38">
        <f>SUMIF('Hoist 2'!$B:$B,Lists!$A$28,'Hoist 2'!$E:$E)</f>
        <v>0</v>
      </c>
      <c r="FF31" s="38">
        <f>SUMIF('Hoist 2'!$B:$B,Lists!$A$28,'Hoist 2'!$F:$F)</f>
        <v>0</v>
      </c>
      <c r="FG31" s="38">
        <f>SUMIF('Hoist 2'!$B:$B,Lists!$A$28,'Hoist 2'!$G:$G)</f>
        <v>0</v>
      </c>
      <c r="FH31" s="38">
        <f>SUMIF('Hoist 2'!$B:$B,Lists!$A$28,'Hoist 2'!$H:$H)</f>
        <v>0</v>
      </c>
      <c r="FI31" s="38">
        <f>SUMIF('Hoist 2'!$B:$B,Lists!$A$28,'Hoist 2'!$I:$I)</f>
        <v>0</v>
      </c>
      <c r="FJ31" s="38">
        <f>SUMIF('Hoist 2'!$B:$B,Lists!$A$29,'Hoist 2'!$C:$C)</f>
        <v>0</v>
      </c>
      <c r="FK31" s="38">
        <f>SUMIF('Hoist 2'!$B:$B,Lists!$A$29,'Hoist 2'!$E:$E)</f>
        <v>0</v>
      </c>
      <c r="FL31" s="38">
        <f>SUMIF('Hoist 2'!$B:$B,Lists!$A$29,'Hoist 2'!$F:$F)</f>
        <v>0</v>
      </c>
      <c r="FM31" s="38">
        <f>SUMIF('Hoist 2'!$B:$B,Lists!$A$29,'Hoist 2'!$G:$G)</f>
        <v>0</v>
      </c>
      <c r="FN31" s="38">
        <f>SUMIF('Hoist 2'!$B:$B,Lists!$A$29,'Hoist 2'!$H:$H)</f>
        <v>0</v>
      </c>
      <c r="FO31" s="38">
        <f>SUMIF('Hoist 2'!$B:$B,Lists!$A$29,'Hoist 2'!$I:$I)</f>
        <v>0</v>
      </c>
      <c r="FP31" s="38">
        <f>SUMIF('Hoist 2'!$B:$B,Lists!$A$30,'Hoist 2'!$C:$C)</f>
        <v>0</v>
      </c>
      <c r="FQ31" s="38">
        <f>SUMIF('Hoist 2'!$B:$B,Lists!$A$30,'Hoist 2'!$E:$E)</f>
        <v>0</v>
      </c>
      <c r="FR31" s="38">
        <f>SUMIF('Hoist 2'!$B:$B,Lists!$A$30,'Hoist 2'!$F:$F)</f>
        <v>0</v>
      </c>
      <c r="FS31" s="38">
        <f>SUMIF('Hoist 2'!$B:$B,Lists!$A$30,'Hoist 2'!$G:$G)</f>
        <v>0</v>
      </c>
      <c r="FT31" s="38">
        <f>SUMIF('Hoist 2'!$B:$B,Lists!$A$30,'Hoist 2'!$H:$H)</f>
        <v>0</v>
      </c>
      <c r="FU31" s="38">
        <f>SUMIF('Hoist 2'!$B:$B,Lists!$A$30,'Hoist 2'!$I:$I)</f>
        <v>0</v>
      </c>
      <c r="FV31" s="38">
        <f>SUMIF('Hoist 2'!$B:$B,Lists!$A$31,'Hoist 2'!$C:$C)</f>
        <v>0</v>
      </c>
      <c r="FW31" s="38">
        <f>SUMIF('Hoist 2'!$B:$B,Lists!$A$31,'Hoist 2'!$E:$E)</f>
        <v>0</v>
      </c>
      <c r="FX31" s="38">
        <f>SUMIF('Hoist 2'!$B:$B,Lists!$A$31,'Hoist 2'!$F:$F)</f>
        <v>0</v>
      </c>
      <c r="FY31" s="38">
        <f>SUMIF('Hoist 2'!$B:$B,Lists!$A$31,'Hoist 2'!$G:$G)</f>
        <v>0</v>
      </c>
      <c r="FZ31" s="38">
        <f>SUMIF('Hoist 2'!$B:$B,Lists!$A$31,'Hoist 2'!$H:$H)</f>
        <v>0</v>
      </c>
      <c r="GA31" s="38">
        <f>SUMIF('Hoist 2'!$B:$B,Lists!$A$31,'Hoist 2'!$I:$I)</f>
        <v>0</v>
      </c>
      <c r="GB31" s="38">
        <f>SUMIF('Hoist 2'!$B:$B,Lists!$A$32,'Hoist 2'!$C:$C)</f>
        <v>0</v>
      </c>
      <c r="GC31" s="38">
        <f>SUMIF('Hoist 2'!$B:$B,Lists!$A$32,'Hoist 2'!$E:$E)</f>
        <v>0</v>
      </c>
      <c r="GD31" s="38">
        <f>SUMIF('Hoist 2'!$B:$B,Lists!$A$32,'Hoist 2'!$F:$F)</f>
        <v>0</v>
      </c>
      <c r="GE31" s="38">
        <f>SUMIF('Hoist 2'!$B:$B,Lists!$A$32,'Hoist 2'!$G:$G)</f>
        <v>0</v>
      </c>
      <c r="GF31" s="38">
        <f>SUMIF('Hoist 2'!$B:$B,Lists!$A$32,'Hoist 2'!$H:$H)</f>
        <v>0</v>
      </c>
      <c r="GG31" s="38">
        <f>SUMIF('Hoist 2'!$B:$B,Lists!$A$32,'Hoist 2'!$I:$I)</f>
        <v>0</v>
      </c>
      <c r="GH31" s="38">
        <f>SUMIF('Hoist 2'!$B:$B,Lists!$A$33,'Hoist 2'!$C:$C)</f>
        <v>0</v>
      </c>
      <c r="GI31" s="38">
        <f>SUMIF('Hoist 2'!$B:$B,Lists!$A$33,'Hoist 2'!$E:$E)</f>
        <v>0</v>
      </c>
      <c r="GJ31" s="38">
        <f>SUMIF('Hoist 2'!$B:$B,Lists!$A$33,'Hoist 2'!$F:$F)</f>
        <v>0</v>
      </c>
      <c r="GK31" s="38">
        <f>SUMIF('Hoist 2'!$B:$B,Lists!$A$33,'Hoist 2'!$G:$G)</f>
        <v>0</v>
      </c>
      <c r="GL31" s="38">
        <f>SUMIF('Hoist 2'!$B:$B,Lists!$A$33,'Hoist 2'!$H:$H)</f>
        <v>0</v>
      </c>
      <c r="GM31" s="38">
        <f>SUMIF('Hoist 2'!$B:$B,Lists!$A$33,'Hoist 2'!$I:$I)</f>
        <v>0</v>
      </c>
      <c r="GN31" s="38">
        <f>SUMIF('Hoist 2'!$B:$B,Lists!$A$34,'Hoist 2'!$C:$C)</f>
        <v>0</v>
      </c>
      <c r="GO31" s="38">
        <f>SUMIF('Hoist 2'!$B:$B,Lists!$A$34,'Hoist 2'!$E:$E)</f>
        <v>0</v>
      </c>
      <c r="GP31" s="38">
        <f>SUMIF('Hoist 2'!$B:$B,Lists!$A$34,'Hoist 2'!$F:$F)</f>
        <v>0</v>
      </c>
      <c r="GQ31" s="38">
        <f>SUMIF('Hoist 2'!$B:$B,Lists!$A$34,'Hoist 2'!$G:$G)</f>
        <v>0</v>
      </c>
      <c r="GR31" s="38">
        <f>SUMIF('Hoist 2'!$B:$B,Lists!$A$34,'Hoist 2'!$H:$H)</f>
        <v>0</v>
      </c>
      <c r="GS31" s="38">
        <f>SUMIF('Hoist 2'!$B:$B,Lists!$A$34,'Hoist 2'!$I:$I)</f>
        <v>0</v>
      </c>
      <c r="GT31" s="38">
        <f>SUMIF('Hoist 2'!$B:$B,Lists!$A$35,'Hoist 2'!$C:$C)</f>
        <v>0</v>
      </c>
      <c r="GU31" s="38">
        <f>SUMIF('Hoist 2'!$B:$B,Lists!$A$35,'Hoist 2'!$E:$E)</f>
        <v>0</v>
      </c>
      <c r="GV31" s="38">
        <f>SUMIF('Hoist 2'!$B:$B,Lists!$A$35,'Hoist 2'!$F:$F)</f>
        <v>0</v>
      </c>
      <c r="GW31" s="38">
        <f>SUMIF('Hoist 2'!$B:$B,Lists!$A$35,'Hoist 2'!$G:$G)</f>
        <v>0</v>
      </c>
      <c r="GX31" s="38">
        <f>SUMIF('Hoist 2'!$B:$B,Lists!$A$35,'Hoist 2'!$H:$H)</f>
        <v>0</v>
      </c>
      <c r="GY31" s="38">
        <f>SUMIF('Hoist 2'!$B:$B,Lists!$A$35,'Hoist 2'!$I:$I)</f>
        <v>0</v>
      </c>
      <c r="GZ31" s="38">
        <f>SUMIF('Hoist 2'!$B:$B,Lists!$A$36,'Hoist 2'!$C:$C)</f>
        <v>0</v>
      </c>
      <c r="HA31" s="38">
        <f>SUMIF('Hoist 2'!$B:$B,Lists!$A$36,'Hoist 2'!$E:$E)</f>
        <v>0</v>
      </c>
      <c r="HB31" s="38">
        <f>SUMIF('Hoist 2'!$B:$B,Lists!$A$36,'Hoist 2'!$F:$F)</f>
        <v>0</v>
      </c>
      <c r="HC31" s="38">
        <f>SUMIF('Hoist 2'!$B:$B,Lists!$A$36,'Hoist 2'!$G:$G)</f>
        <v>0</v>
      </c>
      <c r="HD31" s="38">
        <f>SUMIF('Hoist 2'!$B:$B,Lists!$A$36,'Hoist 2'!$H:$H)</f>
        <v>0</v>
      </c>
      <c r="HE31" s="38">
        <f>SUMIF('Hoist 2'!$B:$B,Lists!$A$36,'Hoist 2'!$I:$I)</f>
        <v>0</v>
      </c>
      <c r="HF31" s="38">
        <f>SUMIF('Hoist 2'!$B:$B,Lists!$A$37,'Hoist 2'!$C:$C)</f>
        <v>0</v>
      </c>
      <c r="HG31" s="38">
        <f>SUMIF('Hoist 2'!$B:$B,Lists!$A$37,'Hoist 2'!$E:$E)</f>
        <v>0</v>
      </c>
      <c r="HH31" s="38">
        <f>SUMIF('Hoist 2'!$B:$B,Lists!$A$37,'Hoist 2'!$F:$F)</f>
        <v>0</v>
      </c>
      <c r="HI31" s="38">
        <f>SUMIF('Hoist 2'!$B:$B,Lists!$A$37,'Hoist 2'!$G:$G)</f>
        <v>0</v>
      </c>
      <c r="HJ31" s="38">
        <f>SUMIF('Hoist 2'!$B:$B,Lists!$A$37,'Hoist 2'!$H:$H)</f>
        <v>0</v>
      </c>
      <c r="HK31" s="38">
        <f>SUMIF('Hoist 2'!$B:$B,Lists!$A$37,'Hoist 2'!$I:$I)</f>
        <v>0</v>
      </c>
      <c r="HL31" s="38">
        <f>SUMIF('Hoist 2'!$B:$B,Lists!$A$38,'Hoist 2'!$C:$C)</f>
        <v>0</v>
      </c>
      <c r="HM31" s="38">
        <f>SUMIF('Hoist 2'!$B:$B,Lists!$A$38,'Hoist 2'!$E:$E)</f>
        <v>0</v>
      </c>
      <c r="HN31" s="38">
        <f>SUMIF('Hoist 2'!$B:$B,Lists!$A$38,'Hoist 2'!$F:$F)</f>
        <v>0</v>
      </c>
      <c r="HO31" s="38">
        <f>SUMIF('Hoist 2'!$B:$B,Lists!$A$38,'Hoist 2'!$G:$G)</f>
        <v>0</v>
      </c>
      <c r="HP31" s="38">
        <f>SUMIF('Hoist 2'!$B:$B,Lists!$A$38,'Hoist 2'!$H:$H)</f>
        <v>0</v>
      </c>
      <c r="HQ31" s="38">
        <f>SUMIF('Hoist 2'!$B:$B,Lists!$A$38,'Hoist 2'!$I:$I)</f>
        <v>0</v>
      </c>
      <c r="HR31" s="38">
        <f>SUMIF('Hoist 2'!$B:$B,Lists!$A$39,'Hoist 2'!$C:$C)</f>
        <v>0</v>
      </c>
      <c r="HS31" s="38">
        <f>SUMIF('Hoist 2'!$B:$B,Lists!$A$39,'Hoist 2'!$E:$E)</f>
        <v>0</v>
      </c>
      <c r="HT31" s="38">
        <f>SUMIF('Hoist 2'!$B:$B,Lists!$A$39,'Hoist 2'!$F:$F)</f>
        <v>0</v>
      </c>
      <c r="HU31" s="38">
        <f>SUMIF('Hoist 2'!$B:$B,Lists!$A$39,'Hoist 2'!$G:$G)</f>
        <v>0</v>
      </c>
      <c r="HV31" s="38">
        <f>SUMIF('Hoist 2'!$B:$B,Lists!$A$39,'Hoist 2'!$H:$H)</f>
        <v>0</v>
      </c>
      <c r="HW31" s="38">
        <f>SUMIF('Hoist 2'!$B:$B,Lists!$A$39,'Hoist 2'!$I:$I)</f>
        <v>0</v>
      </c>
      <c r="HX31" s="38">
        <f>SUMIF('Hoist 2'!$B:$B,Lists!$A$40,'Hoist 2'!$C:$C)</f>
        <v>0</v>
      </c>
      <c r="HY31" s="38">
        <f>SUMIF('Hoist 2'!$B:$B,Lists!$A$40,'Hoist 2'!$E:$E)</f>
        <v>0</v>
      </c>
      <c r="HZ31" s="38">
        <f>SUMIF('Hoist 2'!$B:$B,Lists!$A$40,'Hoist 2'!$F:$F)</f>
        <v>0</v>
      </c>
      <c r="IA31" s="38">
        <f>SUMIF('Hoist 2'!$B:$B,Lists!$A$40,'Hoist 2'!$G:$G)</f>
        <v>0</v>
      </c>
      <c r="IB31" s="38">
        <f>SUMIF('Hoist 2'!$B:$B,Lists!$A$40,'Hoist 2'!$H:$H)</f>
        <v>0</v>
      </c>
      <c r="IC31" s="38">
        <f>SUMIF('Hoist 2'!$B:$B,Lists!$A$40,'Hoist 2'!$I:$I)</f>
        <v>0</v>
      </c>
      <c r="ID31" s="38">
        <f>SUMIF('Hoist 2'!$B:$B,Lists!$A$41,'Hoist 2'!$C:$C)</f>
        <v>0</v>
      </c>
      <c r="IE31" s="38">
        <f>SUMIF('Hoist 2'!$B:$B,Lists!$A$41,'Hoist 2'!$E:$E)</f>
        <v>0</v>
      </c>
      <c r="IF31" s="38">
        <f>SUMIF('Hoist 2'!$B:$B,Lists!$A$41,'Hoist 2'!$F:$F)</f>
        <v>0</v>
      </c>
      <c r="IG31" s="38">
        <f>SUMIF('Hoist 2'!$B:$B,Lists!$A$41,'Hoist 2'!$G:$G)</f>
        <v>0</v>
      </c>
      <c r="IH31" s="38">
        <f>SUMIF('Hoist 2'!$B:$B,Lists!$A$41,'Hoist 2'!$H:$H)</f>
        <v>0</v>
      </c>
      <c r="II31" s="38">
        <f>SUMIF('Hoist 2'!$B:$B,Lists!$A$41,'Hoist 2'!$I:$I)</f>
        <v>0</v>
      </c>
    </row>
    <row r="32" spans="1:243" ht="19.5" customHeight="1" x14ac:dyDescent="0.3">
      <c r="A32" s="31" t="s">
        <v>103</v>
      </c>
      <c r="B32" s="32">
        <f>'Hoist 3'!D2</f>
        <v>46173</v>
      </c>
      <c r="C32" s="33" t="s">
        <v>77</v>
      </c>
      <c r="D32" s="34">
        <f>SUMIF('Hoist 3'!$B:$B,Lists!$A$2,'Hoist 3'!$C:$C)</f>
        <v>156</v>
      </c>
      <c r="E32" s="34">
        <f>SUMIF('Hoist 3'!$B:$B,Lists!$A$2,'Hoist 3'!$E:$E)</f>
        <v>217</v>
      </c>
      <c r="F32" s="34">
        <f>SUMIF('Hoist 3'!$B:$B,Lists!$A$2,'Hoist 3'!$F:$F)</f>
        <v>0</v>
      </c>
      <c r="G32" s="34">
        <f>SUMIF('Hoist 3'!$B:$B,Lists!$A$2,'Hoist 3'!$G:$G)</f>
        <v>0</v>
      </c>
      <c r="H32" s="34">
        <f>SUMIF('Hoist 3'!$B:$B,Lists!$A$2,'Hoist 3'!$H:$H)</f>
        <v>0</v>
      </c>
      <c r="I32" s="34">
        <f>SUMIF('Hoist 3'!$B:$B,Lists!$A$2,'Hoist 3'!$I:$I)</f>
        <v>0</v>
      </c>
      <c r="J32" s="34">
        <f>SUMIF('Hoist 3'!$B:$B,Lists!$A$3,'Hoist 3'!$C:$C)</f>
        <v>0</v>
      </c>
      <c r="K32" s="34">
        <f>SUMIF('Hoist 3'!$B:$B,Lists!$A$3,'Hoist 3'!$E:$E)</f>
        <v>0</v>
      </c>
      <c r="L32" s="34">
        <f>SUMIF('Hoist 3'!$B:$B,Lists!$A$3,'Hoist 3'!$F:$F)</f>
        <v>0</v>
      </c>
      <c r="M32" s="34">
        <f>SUMIF('Hoist 3'!$B:$B,Lists!$A$3,'Hoist 3'!$G:$G)</f>
        <v>0</v>
      </c>
      <c r="N32" s="34">
        <f>SUMIF('Hoist 3'!$B:$B,Lists!$A$3,'Hoist 3'!$H:$H)</f>
        <v>0</v>
      </c>
      <c r="O32" s="34">
        <f>SUMIF('Hoist 3'!$B:$B,Lists!$A$3,'Hoist 3'!$I:$I)</f>
        <v>0</v>
      </c>
      <c r="P32" s="34">
        <f>SUMIF('Hoist 3'!$B:$B,Lists!$A$4,'Hoist 3'!$C:$C)</f>
        <v>0</v>
      </c>
      <c r="Q32" s="34">
        <f>SUMIF('Hoist 3'!$B:$B,Lists!$A$4,'Hoist 3'!$E:$E)</f>
        <v>0</v>
      </c>
      <c r="R32" s="34">
        <f>SUMIF('Hoist 3'!$B:$B,Lists!$A$4,'Hoist 3'!$F:$F)</f>
        <v>0</v>
      </c>
      <c r="S32" s="34">
        <f>SUMIF('Hoist 3'!$B:$B,Lists!$A$4,'Hoist 3'!$G:$G)</f>
        <v>0</v>
      </c>
      <c r="T32" s="34">
        <f>SUMIF('Hoist 3'!$B:$B,Lists!$A$4,'Hoist 3'!$H:$H)</f>
        <v>0</v>
      </c>
      <c r="U32" s="34">
        <f>SUMIF('Hoist 3'!$B:$B,Lists!$A$4,'Hoist 3'!$I:$I)</f>
        <v>0</v>
      </c>
      <c r="V32" s="34">
        <f>SUMIF('Hoist 3'!$B:$B,Lists!$A$5,'Hoist 3'!$C:$C)</f>
        <v>0</v>
      </c>
      <c r="W32" s="34">
        <f>SUMIF('Hoist 3'!$B:$B,Lists!$A$5,'Hoist 3'!$E:$E)</f>
        <v>0</v>
      </c>
      <c r="X32" s="34">
        <f>SUMIF('Hoist 3'!$B:$B,Lists!$A$5,'Hoist 3'!$F:$F)</f>
        <v>0</v>
      </c>
      <c r="Y32" s="34">
        <f>SUMIF('Hoist 3'!$B:$B,Lists!$A$5,'Hoist 3'!$G:$G)</f>
        <v>0</v>
      </c>
      <c r="Z32" s="34">
        <f>SUMIF('Hoist 3'!$B:$B,Lists!$A$5,'Hoist 3'!$H:$H)</f>
        <v>0</v>
      </c>
      <c r="AA32" s="34">
        <f>SUMIF('Hoist 3'!$B:$B,Lists!$A$5,'Hoist 3'!$I:$I)</f>
        <v>0</v>
      </c>
      <c r="AB32" s="34">
        <f>SUMIF('Hoist 3'!$B:$B,Lists!$A$6,'Hoist 3'!$C:$C)</f>
        <v>0</v>
      </c>
      <c r="AC32" s="34">
        <f>SUMIF('Hoist 3'!$B:$B,Lists!$A$6,'Hoist 3'!$E:$E)</f>
        <v>0</v>
      </c>
      <c r="AD32" s="34">
        <f>SUMIF('Hoist 3'!$B:$B,Lists!$A$6,'Hoist 3'!$F:$F)</f>
        <v>0</v>
      </c>
      <c r="AE32" s="34">
        <f>SUMIF('Hoist 3'!$B:$B,Lists!$A$6,'Hoist 3'!$G:$G)</f>
        <v>0</v>
      </c>
      <c r="AF32" s="34">
        <f>SUMIF('Hoist 3'!$B:$B,Lists!$A$6,'Hoist 3'!$H:$H)</f>
        <v>0</v>
      </c>
      <c r="AG32" s="34">
        <f>SUMIF('Hoist 3'!$B:$B,Lists!$A$6,'Hoist 3'!$I:$I)</f>
        <v>0</v>
      </c>
      <c r="AH32" s="34">
        <f>SUMIF('Hoist 3'!$B:$B,Lists!$A$7,'Hoist 3'!$C:$C)</f>
        <v>0</v>
      </c>
      <c r="AI32" s="34">
        <f>SUMIF('Hoist 3'!$B:$B,Lists!$A$7,'Hoist 3'!$E:$E)</f>
        <v>0</v>
      </c>
      <c r="AJ32" s="34">
        <f>SUMIF('Hoist 3'!$B:$B,Lists!$A$7,'Hoist 3'!$F:$F)</f>
        <v>0</v>
      </c>
      <c r="AK32" s="34">
        <f>SUMIF('Hoist 3'!$B:$B,Lists!$A$7,'Hoist 3'!$G:$G)</f>
        <v>0</v>
      </c>
      <c r="AL32" s="34">
        <f>SUMIF('Hoist 3'!$B:$B,Lists!$A$7,'Hoist 3'!$H:$H)</f>
        <v>0</v>
      </c>
      <c r="AM32" s="34">
        <f>SUMIF('Hoist 3'!$B:$B,Lists!$A$7,'Hoist 3'!$I:$I)</f>
        <v>0</v>
      </c>
      <c r="AN32" s="34">
        <f>SUMIF('Hoist 3'!$B:$B,Lists!$A$8,'Hoist 3'!$C:$C)</f>
        <v>0</v>
      </c>
      <c r="AO32" s="34">
        <f>SUMIF('Hoist 3'!$B:$B,Lists!$A$8,'Hoist 3'!$E:$E)</f>
        <v>0</v>
      </c>
      <c r="AP32" s="34">
        <f>SUMIF('Hoist 3'!$B:$B,Lists!$A$8,'Hoist 3'!$F:$F)</f>
        <v>0</v>
      </c>
      <c r="AQ32" s="34">
        <f>SUMIF('Hoist 3'!$B:$B,Lists!$A$8,'Hoist 3'!$G:$G)</f>
        <v>0</v>
      </c>
      <c r="AR32" s="34">
        <f>SUMIF('Hoist 3'!$B:$B,Lists!$A$8,'Hoist 3'!$H:$H)</f>
        <v>0</v>
      </c>
      <c r="AS32" s="34">
        <f>SUMIF('Hoist 3'!$B:$B,Lists!$A$8,'Hoist 3'!$I:$I)</f>
        <v>0</v>
      </c>
      <c r="AT32" s="34">
        <f>SUMIF('Hoist 3'!$B:$B,Lists!$A$9,'Hoist 3'!$C:$C)</f>
        <v>0</v>
      </c>
      <c r="AU32" s="34">
        <f>SUMIF('Hoist 3'!$B:$B,Lists!$A$9,'Hoist 3'!$E:$E)</f>
        <v>0</v>
      </c>
      <c r="AV32" s="34">
        <f>SUMIF('Hoist 3'!$B:$B,Lists!$A$9,'Hoist 3'!$F:$F)</f>
        <v>0</v>
      </c>
      <c r="AW32" s="34">
        <f>SUMIF('Hoist 3'!$B:$B,Lists!$A$9,'Hoist 3'!$G:$G)</f>
        <v>0</v>
      </c>
      <c r="AX32" s="34">
        <f>SUMIF('Hoist 3'!$B:$B,Lists!$A$9,'Hoist 3'!$H:$H)</f>
        <v>0</v>
      </c>
      <c r="AY32" s="34">
        <f>SUMIF('Hoist 3'!$B:$B,Lists!$A$9,'Hoist 3'!$I:$I)</f>
        <v>0</v>
      </c>
      <c r="AZ32" s="34">
        <f>SUMIF('Hoist 3'!$B:$B,Lists!$A$10,'Hoist 3'!$C:$C)</f>
        <v>0</v>
      </c>
      <c r="BA32" s="34">
        <f>SUMIF('Hoist 3'!$B:$B,Lists!$A$10,'Hoist 3'!$E:$E)</f>
        <v>0</v>
      </c>
      <c r="BB32" s="34">
        <f>SUMIF('Hoist 3'!$B:$B,Lists!$A$10,'Hoist 3'!$F:$F)</f>
        <v>0</v>
      </c>
      <c r="BC32" s="34">
        <f>SUMIF('Hoist 3'!$B:$B,Lists!$A$10,'Hoist 3'!$G:$G)</f>
        <v>0</v>
      </c>
      <c r="BD32" s="34">
        <f>SUMIF('Hoist 3'!$B:$B,Lists!$A$10,'Hoist 3'!$H:$H)</f>
        <v>0</v>
      </c>
      <c r="BE32" s="34">
        <f>SUMIF('Hoist 3'!$B:$B,Lists!$A$10,'Hoist 3'!$I:$I)</f>
        <v>0</v>
      </c>
      <c r="BF32" s="34">
        <f>SUMIF('Hoist 3'!$B:$B,Lists!$A$11,'Hoist 3'!$C:$C)</f>
        <v>0</v>
      </c>
      <c r="BG32" s="34">
        <f>SUMIF('Hoist 3'!$B:$B,Lists!$A$11,'Hoist 3'!$E:$E)</f>
        <v>0</v>
      </c>
      <c r="BH32" s="34">
        <f>SUMIF('Hoist 3'!$B:$B,Lists!$A$11,'Hoist 3'!$F:$F)</f>
        <v>0</v>
      </c>
      <c r="BI32" s="34">
        <f>SUMIF('Hoist 3'!$B:$B,Lists!$A$11,'Hoist 3'!$G:$G)</f>
        <v>0</v>
      </c>
      <c r="BJ32" s="34">
        <f>SUMIF('Hoist 3'!$B:$B,Lists!$A$11,'Hoist 3'!$H:$H)</f>
        <v>0</v>
      </c>
      <c r="BK32" s="34">
        <f>SUMIF('Hoist 3'!$B:$B,Lists!$A$11,'Hoist 3'!$I:$I)</f>
        <v>0</v>
      </c>
      <c r="BL32" s="34">
        <f>SUMIF('Hoist 3'!$B:$B,Lists!$A$12,'Hoist 3'!$C:$C)</f>
        <v>0</v>
      </c>
      <c r="BM32" s="34">
        <f>SUMIF('Hoist 3'!$B:$B,Lists!$A$12,'Hoist 3'!$E:$E)</f>
        <v>0</v>
      </c>
      <c r="BN32" s="34">
        <f>SUMIF('Hoist 3'!$B:$B,Lists!$A$12,'Hoist 3'!$F:$F)</f>
        <v>0</v>
      </c>
      <c r="BO32" s="34">
        <f>SUMIF('Hoist 3'!$B:$B,Lists!$A$12,'Hoist 3'!$G:$G)</f>
        <v>0</v>
      </c>
      <c r="BP32" s="34">
        <f>SUMIF('Hoist 3'!$B:$B,Lists!$A$12,'Hoist 3'!$H:$H)</f>
        <v>0</v>
      </c>
      <c r="BQ32" s="34">
        <f>SUMIF('Hoist 3'!$B:$B,Lists!$A$12,'Hoist 3'!$I:$I)</f>
        <v>0</v>
      </c>
      <c r="BR32" s="34">
        <f>SUMIF('Hoist 3'!$B:$B,Lists!$A$13,'Hoist 3'!$C:$C)</f>
        <v>0</v>
      </c>
      <c r="BS32" s="34">
        <f>SUMIF('Hoist 3'!$B:$B,Lists!$A$13,'Hoist 3'!$E:$E)</f>
        <v>0</v>
      </c>
      <c r="BT32" s="34">
        <f>SUMIF('Hoist 3'!$B:$B,Lists!$A$13,'Hoist 3'!$F:$F)</f>
        <v>0</v>
      </c>
      <c r="BU32" s="34">
        <f>SUMIF('Hoist 3'!$B:$B,Lists!$A$13,'Hoist 3'!$G:$G)</f>
        <v>0</v>
      </c>
      <c r="BV32" s="34">
        <f>SUMIF('Hoist 3'!$B:$B,Lists!$A$13,'Hoist 3'!$H:$H)</f>
        <v>0</v>
      </c>
      <c r="BW32" s="34">
        <f>SUMIF('Hoist 3'!$B:$B,Lists!$A$13,'Hoist 3'!$I:$I)</f>
        <v>0</v>
      </c>
      <c r="BX32" s="34">
        <f>SUMIF('Hoist 3'!$B:$B,Lists!$A$14,'Hoist 3'!$C:$C)</f>
        <v>0</v>
      </c>
      <c r="BY32" s="34">
        <f>SUMIF('Hoist 3'!$B:$B,Lists!$A$14,'Hoist 3'!$E:$E)</f>
        <v>0</v>
      </c>
      <c r="BZ32" s="34">
        <f>SUMIF('Hoist 3'!$B:$B,Lists!$A$14,'Hoist 3'!$F:$F)</f>
        <v>0</v>
      </c>
      <c r="CA32" s="34">
        <f>SUMIF('Hoist 3'!$B:$B,Lists!$A$14,'Hoist 3'!$G:$G)</f>
        <v>0</v>
      </c>
      <c r="CB32" s="34">
        <f>SUMIF('Hoist 3'!$B:$B,Lists!$A$14,'Hoist 3'!$H:$H)</f>
        <v>0</v>
      </c>
      <c r="CC32" s="34">
        <f>SUMIF('Hoist 3'!$B:$B,Lists!$A$14,'Hoist 3'!$I:$I)</f>
        <v>0</v>
      </c>
      <c r="CD32" s="34">
        <f>SUMIF('Hoist 3'!$B:$B,Lists!$A$15,'Hoist 3'!$C:$C)</f>
        <v>0</v>
      </c>
      <c r="CE32" s="34">
        <f>SUMIF('Hoist 3'!$B:$B,Lists!$A$15,'Hoist 3'!$E:$E)</f>
        <v>53</v>
      </c>
      <c r="CF32" s="34">
        <f>SUMIF('Hoist 3'!$B:$B,Lists!$A$15,'Hoist 3'!$F:$F)</f>
        <v>0</v>
      </c>
      <c r="CG32" s="34">
        <f>SUMIF('Hoist 3'!$B:$B,Lists!$A$15,'Hoist 3'!$G:$G)</f>
        <v>0</v>
      </c>
      <c r="CH32" s="34">
        <f>SUMIF('Hoist 3'!$B:$B,Lists!$A$15,'Hoist 3'!$H:$H)</f>
        <v>0</v>
      </c>
      <c r="CI32" s="34">
        <f>SUMIF('Hoist 3'!$B:$B,Lists!$A$15,'Hoist 3'!$I:$I)</f>
        <v>0</v>
      </c>
      <c r="CJ32" s="34">
        <f>SUMIF('Hoist 3'!$B:$B,Lists!$A$16,'Hoist 3'!$C:$C)</f>
        <v>31</v>
      </c>
      <c r="CK32" s="34">
        <f>SUMIF('Hoist 3'!$B:$B,Lists!$A$16,'Hoist 3'!$E:$E)</f>
        <v>28</v>
      </c>
      <c r="CL32" s="34">
        <f>SUMIF('Hoist 3'!$B:$B,Lists!$A$16,'Hoist 3'!$F:$F)</f>
        <v>0</v>
      </c>
      <c r="CM32" s="34">
        <f>SUMIF('Hoist 3'!$B:$B,Lists!$A$16,'Hoist 3'!$G:$G)</f>
        <v>0</v>
      </c>
      <c r="CN32" s="34">
        <f>SUMIF('Hoist 3'!$B:$B,Lists!$A$16,'Hoist 3'!$H:$H)</f>
        <v>0</v>
      </c>
      <c r="CO32" s="34">
        <f>SUMIF('Hoist 3'!$B:$B,Lists!$A$16,'Hoist 3'!$I:$I)</f>
        <v>0</v>
      </c>
      <c r="CP32" s="34">
        <f>SUMIF('Hoist 3'!$B:$B,Lists!$A$17,'Hoist 3'!$C:$C)</f>
        <v>0</v>
      </c>
      <c r="CQ32" s="34">
        <f>SUMIF('Hoist 3'!$B:$B,Lists!$A$17,'Hoist 3'!$E:$E)</f>
        <v>0</v>
      </c>
      <c r="CR32" s="34">
        <f>SUMIF('Hoist 3'!$B:$B,Lists!$A$17,'Hoist 3'!$F:$F)</f>
        <v>0</v>
      </c>
      <c r="CS32" s="34">
        <f>SUMIF('Hoist 3'!$B:$B,Lists!$A$17,'Hoist 3'!$G:$G)</f>
        <v>0</v>
      </c>
      <c r="CT32" s="34">
        <f>SUMIF('Hoist 3'!$B:$B,Lists!$A$17,'Hoist 3'!$H:$H)</f>
        <v>0</v>
      </c>
      <c r="CU32" s="34">
        <f>SUMIF('Hoist 3'!$B:$B,Lists!$A$17,'Hoist 3'!$I:$I)</f>
        <v>0</v>
      </c>
      <c r="CV32" s="34">
        <f>SUMIF('Hoist 3'!$B:$B,Lists!$A$18,'Hoist 3'!$C:$C)</f>
        <v>0</v>
      </c>
      <c r="CW32" s="34">
        <f>SUMIF('Hoist 3'!$B:$B,Lists!$A$18,'Hoist 3'!$E:$E)</f>
        <v>0</v>
      </c>
      <c r="CX32" s="34">
        <f>SUMIF('Hoist 3'!$B:$B,Lists!$A$18,'Hoist 3'!$F:$F)</f>
        <v>0</v>
      </c>
      <c r="CY32" s="34">
        <f>SUMIF('Hoist 3'!$B:$B,Lists!$A$18,'Hoist 3'!$G:$G)</f>
        <v>0</v>
      </c>
      <c r="CZ32" s="34">
        <f>SUMIF('Hoist 3'!$B:$B,Lists!$A$18,'Hoist 3'!$H:$H)</f>
        <v>0</v>
      </c>
      <c r="DA32" s="34">
        <f>SUMIF('Hoist 3'!$B:$B,Lists!$A$18,'Hoist 3'!$I:$I)</f>
        <v>0</v>
      </c>
      <c r="DB32" s="34">
        <f>SUMIF('Hoist 3'!$B:$B,Lists!$A$19,'Hoist 3'!$C:$C)</f>
        <v>0</v>
      </c>
      <c r="DC32" s="34">
        <f>SUMIF('Hoist 3'!$B:$B,Lists!$A$19,'Hoist 3'!$E:$E)</f>
        <v>0</v>
      </c>
      <c r="DD32" s="34">
        <f>SUMIF('Hoist 3'!$B:$B,Lists!$A$19,'Hoist 3'!$F:$F)</f>
        <v>0</v>
      </c>
      <c r="DE32" s="34">
        <f>SUMIF('Hoist 3'!$B:$B,Lists!$A$19,'Hoist 3'!$G:$G)</f>
        <v>0</v>
      </c>
      <c r="DF32" s="34">
        <f>SUMIF('Hoist 3'!$B:$B,Lists!$A$19,'Hoist 3'!$H:$H)</f>
        <v>0</v>
      </c>
      <c r="DG32" s="34">
        <f>SUMIF('Hoist 3'!$B:$B,Lists!$A$19,'Hoist 3'!$I:$I)</f>
        <v>0</v>
      </c>
      <c r="DH32" s="34">
        <f>SUMIF('Hoist 3'!$B:$B,Lists!$A$20,'Hoist 3'!$C:$C)</f>
        <v>0</v>
      </c>
      <c r="DI32" s="34">
        <f>SUMIF('Hoist 3'!$B:$B,Lists!$A$20,'Hoist 3'!$E:$E)</f>
        <v>0</v>
      </c>
      <c r="DJ32" s="34">
        <f>SUMIF('Hoist 3'!$B:$B,Lists!$A$20,'Hoist 3'!$F:$F)</f>
        <v>0</v>
      </c>
      <c r="DK32" s="34">
        <f>SUMIF('Hoist 3'!$B:$B,Lists!$A$20,'Hoist 3'!$G:$G)</f>
        <v>0</v>
      </c>
      <c r="DL32" s="34">
        <f>SUMIF('Hoist 3'!$B:$B,Lists!$A$20,'Hoist 3'!$H:$H)</f>
        <v>0</v>
      </c>
      <c r="DM32" s="34">
        <f>SUMIF('Hoist 3'!$B:$B,Lists!$A$20,'Hoist 3'!$I:$I)</f>
        <v>0</v>
      </c>
      <c r="DN32" s="34">
        <f>SUMIF('Hoist 3'!$B:$B,Lists!$A$21,'Hoist 3'!$C:$C)</f>
        <v>0</v>
      </c>
      <c r="DO32" s="34">
        <f>SUMIF('Hoist 3'!$B:$B,Lists!$A$21,'Hoist 3'!$E:$E)</f>
        <v>0</v>
      </c>
      <c r="DP32" s="34">
        <f>SUMIF('Hoist 3'!$B:$B,Lists!$A$21,'Hoist 3'!$F:$F)</f>
        <v>0</v>
      </c>
      <c r="DQ32" s="34">
        <f>SUMIF('Hoist 3'!$B:$B,Lists!$A$21,'Hoist 3'!$G:$G)</f>
        <v>0</v>
      </c>
      <c r="DR32" s="34">
        <f>SUMIF('Hoist 3'!$B:$B,Lists!$A$21,'Hoist 3'!$H:$H)</f>
        <v>0</v>
      </c>
      <c r="DS32" s="34">
        <f>SUMIF('Hoist 3'!$B:$B,Lists!$A$21,'Hoist 3'!$I:$I)</f>
        <v>0</v>
      </c>
      <c r="DT32" s="34">
        <f>SUMIF('Hoist 3'!$B:$B,Lists!$A$22,'Hoist 3'!$C:$C)</f>
        <v>0</v>
      </c>
      <c r="DU32" s="34">
        <f>SUMIF('Hoist 3'!$B:$B,Lists!$A$22,'Hoist 3'!$E:$E)</f>
        <v>0</v>
      </c>
      <c r="DV32" s="34">
        <f>SUMIF('Hoist 3'!$B:$B,Lists!$A$22,'Hoist 3'!$F:$F)</f>
        <v>0</v>
      </c>
      <c r="DW32" s="34">
        <f>SUMIF('Hoist 3'!$B:$B,Lists!$A$22,'Hoist 3'!$G:$G)</f>
        <v>0</v>
      </c>
      <c r="DX32" s="34">
        <f>SUMIF('Hoist 3'!$B:$B,Lists!$A$22,'Hoist 3'!$H:$H)</f>
        <v>0</v>
      </c>
      <c r="DY32" s="34">
        <f>SUMIF('Hoist 3'!$B:$B,Lists!$A$22,'Hoist 3'!$I:$I)</f>
        <v>0</v>
      </c>
      <c r="DZ32" s="34">
        <f>SUMIF('Hoist 3'!$B:$B,Lists!$A$23,'Hoist 3'!$C:$C)</f>
        <v>0</v>
      </c>
      <c r="EA32" s="34">
        <f>SUMIF('Hoist 3'!$B:$B,Lists!$A$23,'Hoist 3'!$E:$E)</f>
        <v>0</v>
      </c>
      <c r="EB32" s="34">
        <f>SUMIF('Hoist 3'!$B:$B,Lists!$A$23,'Hoist 3'!$F:$F)</f>
        <v>0</v>
      </c>
      <c r="EC32" s="34">
        <f>SUMIF('Hoist 3'!$B:$B,Lists!$A$23,'Hoist 3'!$G:$G)</f>
        <v>0</v>
      </c>
      <c r="ED32" s="34">
        <f>SUMIF('Hoist 3'!$B:$B,Lists!$A$23,'Hoist 3'!$H:$H)</f>
        <v>0</v>
      </c>
      <c r="EE32" s="34">
        <f>SUMIF('Hoist 3'!$B:$B,Lists!$A$23,'Hoist 3'!$I:$I)</f>
        <v>0</v>
      </c>
      <c r="EF32" s="34">
        <f>SUMIF('Hoist 3'!$B:$B,Lists!$A$24,'Hoist 3'!$C:$C)</f>
        <v>0</v>
      </c>
      <c r="EG32" s="34">
        <f>SUMIF('Hoist 3'!$B:$B,Lists!$A$24,'Hoist 3'!$E:$E)</f>
        <v>0</v>
      </c>
      <c r="EH32" s="34">
        <f>SUMIF('Hoist 3'!$B:$B,Lists!$A$24,'Hoist 3'!$F:$F)</f>
        <v>0</v>
      </c>
      <c r="EI32" s="34">
        <f>SUMIF('Hoist 3'!$B:$B,Lists!$A$24,'Hoist 3'!$G:$G)</f>
        <v>0</v>
      </c>
      <c r="EJ32" s="34">
        <f>SUMIF('Hoist 3'!$B:$B,Lists!$A$24,'Hoist 3'!$H:$H)</f>
        <v>0</v>
      </c>
      <c r="EK32" s="34">
        <f>SUMIF('Hoist 3'!$B:$B,Lists!$A$24,'Hoist 3'!$I:$I)</f>
        <v>0</v>
      </c>
      <c r="EL32" s="34">
        <f>SUMIF('Hoist 3'!$B:$B,Lists!$A$25,'Hoist 3'!$C:$C)</f>
        <v>0</v>
      </c>
      <c r="EM32" s="34">
        <f>SUMIF('Hoist 3'!$B:$B,Lists!$A$25,'Hoist 3'!$E:$E)</f>
        <v>0</v>
      </c>
      <c r="EN32" s="34">
        <f>SUMIF('Hoist 3'!$B:$B,Lists!$A$25,'Hoist 3'!$F:$F)</f>
        <v>0</v>
      </c>
      <c r="EO32" s="34">
        <f>SUMIF('Hoist 3'!$B:$B,Lists!$A$25,'Hoist 3'!$G:$G)</f>
        <v>0</v>
      </c>
      <c r="EP32" s="34">
        <f>SUMIF('Hoist 3'!$B:$B,Lists!$A$25,'Hoist 3'!$H:$H)</f>
        <v>0</v>
      </c>
      <c r="EQ32" s="34">
        <f>SUMIF('Hoist 3'!$B:$B,Lists!$A$25,'Hoist 3'!$I:$I)</f>
        <v>0</v>
      </c>
      <c r="ER32" s="34">
        <f>SUMIF('Hoist 3'!$B:$B,Lists!$A$26,'Hoist 3'!$C:$C)</f>
        <v>0</v>
      </c>
      <c r="ES32" s="34">
        <f>SUMIF('Hoist 3'!$B:$B,Lists!$A$26,'Hoist 3'!$E:$E)</f>
        <v>0</v>
      </c>
      <c r="ET32" s="34">
        <f>SUMIF('Hoist 3'!$B:$B,Lists!$A$26,'Hoist 3'!$F:$F)</f>
        <v>0</v>
      </c>
      <c r="EU32" s="34">
        <f>SUMIF('Hoist 3'!$B:$B,Lists!$A$26,'Hoist 3'!$G:$G)</f>
        <v>0</v>
      </c>
      <c r="EV32" s="34">
        <f>SUMIF('Hoist 3'!$B:$B,Lists!$A$26,'Hoist 3'!$H:$H)</f>
        <v>0</v>
      </c>
      <c r="EW32" s="34">
        <f>SUMIF('Hoist 3'!$B:$B,Lists!$A$26,'Hoist 3'!$I:$I)</f>
        <v>0</v>
      </c>
      <c r="EX32" s="34">
        <f>SUMIF('Hoist 3'!$B:$B,Lists!$A$27,'Hoist 3'!$C:$C)</f>
        <v>0</v>
      </c>
      <c r="EY32" s="34">
        <f>SUMIF('Hoist 3'!$B:$B,Lists!$A$27,'Hoist 3'!$E:$E)</f>
        <v>0</v>
      </c>
      <c r="EZ32" s="34">
        <f>SUMIF('Hoist 3'!$B:$B,Lists!$A$27,'Hoist 3'!$F:$F)</f>
        <v>0</v>
      </c>
      <c r="FA32" s="34">
        <f>SUMIF('Hoist 3'!$B:$B,Lists!$A$27,'Hoist 3'!$G:$G)</f>
        <v>0</v>
      </c>
      <c r="FB32" s="34">
        <f>SUMIF('Hoist 3'!$B:$B,Lists!$A$27,'Hoist 3'!$H:$H)</f>
        <v>0</v>
      </c>
      <c r="FC32" s="34">
        <f>SUMIF('Hoist 3'!$B:$B,Lists!$A$27,'Hoist 3'!$I:$I)</f>
        <v>0</v>
      </c>
      <c r="FD32" s="34">
        <f>SUMIF('Hoist 3'!$B:$B,Lists!$A$28,'Hoist 3'!$C:$C)</f>
        <v>0</v>
      </c>
      <c r="FE32" s="34">
        <f>SUMIF('Hoist 3'!$B:$B,Lists!$A$28,'Hoist 3'!$E:$E)</f>
        <v>0</v>
      </c>
      <c r="FF32" s="34">
        <f>SUMIF('Hoist 3'!$B:$B,Lists!$A$28,'Hoist 3'!$F:$F)</f>
        <v>0</v>
      </c>
      <c r="FG32" s="34">
        <f>SUMIF('Hoist 3'!$B:$B,Lists!$A$28,'Hoist 3'!$G:$G)</f>
        <v>0</v>
      </c>
      <c r="FH32" s="34">
        <f>SUMIF('Hoist 3'!$B:$B,Lists!$A$28,'Hoist 3'!$H:$H)</f>
        <v>0</v>
      </c>
      <c r="FI32" s="34">
        <f>SUMIF('Hoist 3'!$B:$B,Lists!$A$28,'Hoist 3'!$I:$I)</f>
        <v>0</v>
      </c>
      <c r="FJ32" s="34">
        <f>SUMIF('Hoist 3'!$B:$B,Lists!$A$29,'Hoist 3'!$C:$C)</f>
        <v>0</v>
      </c>
      <c r="FK32" s="34">
        <f>SUMIF('Hoist 3'!$B:$B,Lists!$A$29,'Hoist 3'!$E:$E)</f>
        <v>13</v>
      </c>
      <c r="FL32" s="34">
        <f>SUMIF('Hoist 3'!$B:$B,Lists!$A$29,'Hoist 3'!$F:$F)</f>
        <v>0</v>
      </c>
      <c r="FM32" s="34">
        <f>SUMIF('Hoist 3'!$B:$B,Lists!$A$29,'Hoist 3'!$G:$G)</f>
        <v>0</v>
      </c>
      <c r="FN32" s="34">
        <f>SUMIF('Hoist 3'!$B:$B,Lists!$A$29,'Hoist 3'!$H:$H)</f>
        <v>0</v>
      </c>
      <c r="FO32" s="34">
        <f>SUMIF('Hoist 3'!$B:$B,Lists!$A$29,'Hoist 3'!$I:$I)</f>
        <v>0</v>
      </c>
      <c r="FP32" s="34">
        <f>SUMIF('Hoist 3'!$B:$B,Lists!$A$30,'Hoist 3'!$C:$C)</f>
        <v>0</v>
      </c>
      <c r="FQ32" s="34">
        <f>SUMIF('Hoist 3'!$B:$B,Lists!$A$30,'Hoist 3'!$E:$E)</f>
        <v>0</v>
      </c>
      <c r="FR32" s="34">
        <f>SUMIF('Hoist 3'!$B:$B,Lists!$A$30,'Hoist 3'!$F:$F)</f>
        <v>0</v>
      </c>
      <c r="FS32" s="34">
        <f>SUMIF('Hoist 3'!$B:$B,Lists!$A$30,'Hoist 3'!$G:$G)</f>
        <v>0</v>
      </c>
      <c r="FT32" s="34">
        <f>SUMIF('Hoist 3'!$B:$B,Lists!$A$30,'Hoist 3'!$H:$H)</f>
        <v>0</v>
      </c>
      <c r="FU32" s="34">
        <f>SUMIF('Hoist 3'!$B:$B,Lists!$A$30,'Hoist 3'!$I:$I)</f>
        <v>0</v>
      </c>
      <c r="FV32" s="34">
        <f>SUMIF('Hoist 3'!$B:$B,Lists!$A$31,'Hoist 3'!$C:$C)</f>
        <v>0</v>
      </c>
      <c r="FW32" s="34">
        <f>SUMIF('Hoist 3'!$B:$B,Lists!$A$31,'Hoist 3'!$E:$E)</f>
        <v>0</v>
      </c>
      <c r="FX32" s="34">
        <f>SUMIF('Hoist 3'!$B:$B,Lists!$A$31,'Hoist 3'!$F:$F)</f>
        <v>0</v>
      </c>
      <c r="FY32" s="34">
        <f>SUMIF('Hoist 3'!$B:$B,Lists!$A$31,'Hoist 3'!$G:$G)</f>
        <v>0</v>
      </c>
      <c r="FZ32" s="34">
        <f>SUMIF('Hoist 3'!$B:$B,Lists!$A$31,'Hoist 3'!$H:$H)</f>
        <v>0</v>
      </c>
      <c r="GA32" s="34">
        <f>SUMIF('Hoist 3'!$B:$B,Lists!$A$31,'Hoist 3'!$I:$I)</f>
        <v>0</v>
      </c>
      <c r="GB32" s="34">
        <f>SUMIF('Hoist 3'!$B:$B,Lists!$A$32,'Hoist 3'!$C:$C)</f>
        <v>0</v>
      </c>
      <c r="GC32" s="34">
        <f>SUMIF('Hoist 3'!$B:$B,Lists!$A$32,'Hoist 3'!$E:$E)</f>
        <v>0</v>
      </c>
      <c r="GD32" s="34">
        <f>SUMIF('Hoist 3'!$B:$B,Lists!$A$32,'Hoist 3'!$F:$F)</f>
        <v>0</v>
      </c>
      <c r="GE32" s="34">
        <f>SUMIF('Hoist 3'!$B:$B,Lists!$A$32,'Hoist 3'!$G:$G)</f>
        <v>0</v>
      </c>
      <c r="GF32" s="34">
        <f>SUMIF('Hoist 3'!$B:$B,Lists!$A$32,'Hoist 3'!$H:$H)</f>
        <v>0</v>
      </c>
      <c r="GG32" s="34">
        <f>SUMIF('Hoist 3'!$B:$B,Lists!$A$32,'Hoist 3'!$I:$I)</f>
        <v>0</v>
      </c>
      <c r="GH32" s="34">
        <f>SUMIF('Hoist 3'!$B:$B,Lists!$A$33,'Hoist 3'!$C:$C)</f>
        <v>0</v>
      </c>
      <c r="GI32" s="34">
        <f>SUMIF('Hoist 3'!$B:$B,Lists!$A$33,'Hoist 3'!$E:$E)</f>
        <v>0</v>
      </c>
      <c r="GJ32" s="34">
        <f>SUMIF('Hoist 3'!$B:$B,Lists!$A$33,'Hoist 3'!$F:$F)</f>
        <v>0</v>
      </c>
      <c r="GK32" s="34">
        <f>SUMIF('Hoist 3'!$B:$B,Lists!$A$33,'Hoist 3'!$G:$G)</f>
        <v>0</v>
      </c>
      <c r="GL32" s="34">
        <f>SUMIF('Hoist 3'!$B:$B,Lists!$A$33,'Hoist 3'!$H:$H)</f>
        <v>0</v>
      </c>
      <c r="GM32" s="34">
        <f>SUMIF('Hoist 3'!$B:$B,Lists!$A$33,'Hoist 3'!$I:$I)</f>
        <v>0</v>
      </c>
      <c r="GN32" s="34">
        <f>SUMIF('Hoist 3'!$B:$B,Lists!$A$34,'Hoist 3'!$C:$C)</f>
        <v>0</v>
      </c>
      <c r="GO32" s="34">
        <f>SUMIF('Hoist 3'!$B:$B,Lists!$A$34,'Hoist 3'!$E:$E)</f>
        <v>0</v>
      </c>
      <c r="GP32" s="34">
        <f>SUMIF('Hoist 3'!$B:$B,Lists!$A$34,'Hoist 3'!$F:$F)</f>
        <v>0</v>
      </c>
      <c r="GQ32" s="34">
        <f>SUMIF('Hoist 3'!$B:$B,Lists!$A$34,'Hoist 3'!$G:$G)</f>
        <v>0</v>
      </c>
      <c r="GR32" s="34">
        <f>SUMIF('Hoist 3'!$B:$B,Lists!$A$34,'Hoist 3'!$H:$H)</f>
        <v>0</v>
      </c>
      <c r="GS32" s="34">
        <f>SUMIF('Hoist 3'!$B:$B,Lists!$A$34,'Hoist 3'!$I:$I)</f>
        <v>0</v>
      </c>
      <c r="GT32" s="34">
        <f>SUMIF('Hoist 3'!$B:$B,Lists!$A$35,'Hoist 3'!$C:$C)</f>
        <v>0</v>
      </c>
      <c r="GU32" s="34">
        <f>SUMIF('Hoist 3'!$B:$B,Lists!$A$35,'Hoist 3'!$E:$E)</f>
        <v>0</v>
      </c>
      <c r="GV32" s="34">
        <f>SUMIF('Hoist 3'!$B:$B,Lists!$A$35,'Hoist 3'!$F:$F)</f>
        <v>0</v>
      </c>
      <c r="GW32" s="34">
        <f>SUMIF('Hoist 3'!$B:$B,Lists!$A$35,'Hoist 3'!$G:$G)</f>
        <v>0</v>
      </c>
      <c r="GX32" s="34">
        <f>SUMIF('Hoist 3'!$B:$B,Lists!$A$35,'Hoist 3'!$H:$H)</f>
        <v>0</v>
      </c>
      <c r="GY32" s="34">
        <f>SUMIF('Hoist 3'!$B:$B,Lists!$A$35,'Hoist 3'!$I:$I)</f>
        <v>0</v>
      </c>
      <c r="GZ32" s="34">
        <f>SUMIF('Hoist 3'!$B:$B,Lists!$A$36,'Hoist 3'!$C:$C)</f>
        <v>0</v>
      </c>
      <c r="HA32" s="34">
        <f>SUMIF('Hoist 3'!$B:$B,Lists!$A$36,'Hoist 3'!$E:$E)</f>
        <v>0</v>
      </c>
      <c r="HB32" s="34">
        <f>SUMIF('Hoist 3'!$B:$B,Lists!$A$36,'Hoist 3'!$F:$F)</f>
        <v>0</v>
      </c>
      <c r="HC32" s="34">
        <f>SUMIF('Hoist 3'!$B:$B,Lists!$A$36,'Hoist 3'!$G:$G)</f>
        <v>0</v>
      </c>
      <c r="HD32" s="34">
        <f>SUMIF('Hoist 3'!$B:$B,Lists!$A$36,'Hoist 3'!$H:$H)</f>
        <v>0</v>
      </c>
      <c r="HE32" s="34">
        <f>SUMIF('Hoist 3'!$B:$B,Lists!$A$36,'Hoist 3'!$I:$I)</f>
        <v>0</v>
      </c>
      <c r="HF32" s="34">
        <f>SUMIF('Hoist 3'!$B:$B,Lists!$A$37,'Hoist 3'!$C:$C)</f>
        <v>0</v>
      </c>
      <c r="HG32" s="34">
        <f>SUMIF('Hoist 3'!$B:$B,Lists!$A$37,'Hoist 3'!$E:$E)</f>
        <v>0</v>
      </c>
      <c r="HH32" s="34">
        <f>SUMIF('Hoist 3'!$B:$B,Lists!$A$37,'Hoist 3'!$F:$F)</f>
        <v>0</v>
      </c>
      <c r="HI32" s="34">
        <f>SUMIF('Hoist 3'!$B:$B,Lists!$A$37,'Hoist 3'!$G:$G)</f>
        <v>0</v>
      </c>
      <c r="HJ32" s="34">
        <f>SUMIF('Hoist 3'!$B:$B,Lists!$A$37,'Hoist 3'!$H:$H)</f>
        <v>0</v>
      </c>
      <c r="HK32" s="34">
        <f>SUMIF('Hoist 3'!$B:$B,Lists!$A$37,'Hoist 3'!$I:$I)</f>
        <v>0</v>
      </c>
      <c r="HL32" s="34">
        <f>SUMIF('Hoist 3'!$B:$B,Lists!$A$38,'Hoist 3'!$C:$C)</f>
        <v>0</v>
      </c>
      <c r="HM32" s="34">
        <f>SUMIF('Hoist 3'!$B:$B,Lists!$A$38,'Hoist 3'!$E:$E)</f>
        <v>0</v>
      </c>
      <c r="HN32" s="34">
        <f>SUMIF('Hoist 3'!$B:$B,Lists!$A$38,'Hoist 3'!$F:$F)</f>
        <v>0</v>
      </c>
      <c r="HO32" s="34">
        <f>SUMIF('Hoist 3'!$B:$B,Lists!$A$38,'Hoist 3'!$G:$G)</f>
        <v>0</v>
      </c>
      <c r="HP32" s="34">
        <f>SUMIF('Hoist 3'!$B:$B,Lists!$A$38,'Hoist 3'!$H:$H)</f>
        <v>0</v>
      </c>
      <c r="HQ32" s="34">
        <f>SUMIF('Hoist 3'!$B:$B,Lists!$A$38,'Hoist 3'!$I:$I)</f>
        <v>0</v>
      </c>
      <c r="HR32" s="34">
        <f>SUMIF('Hoist 3'!$B:$B,Lists!$A$39,'Hoist 3'!$C:$C)</f>
        <v>0</v>
      </c>
      <c r="HS32" s="34">
        <f>SUMIF('Hoist 3'!$B:$B,Lists!$A$39,'Hoist 3'!$E:$E)</f>
        <v>0</v>
      </c>
      <c r="HT32" s="34">
        <f>SUMIF('Hoist 3'!$B:$B,Lists!$A$39,'Hoist 3'!$F:$F)</f>
        <v>0</v>
      </c>
      <c r="HU32" s="34">
        <f>SUMIF('Hoist 3'!$B:$B,Lists!$A$39,'Hoist 3'!$G:$G)</f>
        <v>0</v>
      </c>
      <c r="HV32" s="34">
        <f>SUMIF('Hoist 3'!$B:$B,Lists!$A$39,'Hoist 3'!$H:$H)</f>
        <v>0</v>
      </c>
      <c r="HW32" s="34">
        <f>SUMIF('Hoist 3'!$B:$B,Lists!$A$39,'Hoist 3'!$I:$I)</f>
        <v>0</v>
      </c>
      <c r="HX32" s="34">
        <f>SUMIF('Hoist 3'!$B:$B,Lists!$A$40,'Hoist 3'!$C:$C)</f>
        <v>0</v>
      </c>
      <c r="HY32" s="34">
        <f>SUMIF('Hoist 3'!$B:$B,Lists!$A$40,'Hoist 3'!$E:$E)</f>
        <v>0</v>
      </c>
      <c r="HZ32" s="34">
        <f>SUMIF('Hoist 3'!$B:$B,Lists!$A$40,'Hoist 3'!$F:$F)</f>
        <v>0</v>
      </c>
      <c r="IA32" s="34">
        <f>SUMIF('Hoist 3'!$B:$B,Lists!$A$40,'Hoist 3'!$G:$G)</f>
        <v>0</v>
      </c>
      <c r="IB32" s="34">
        <f>SUMIF('Hoist 3'!$B:$B,Lists!$A$40,'Hoist 3'!$H:$H)</f>
        <v>0</v>
      </c>
      <c r="IC32" s="34">
        <f>SUMIF('Hoist 3'!$B:$B,Lists!$A$40,'Hoist 3'!$I:$I)</f>
        <v>0</v>
      </c>
      <c r="ID32" s="34">
        <f>SUMIF('Hoist 3'!$B:$B,Lists!$A$41,'Hoist 3'!$C:$C)</f>
        <v>0</v>
      </c>
      <c r="IE32" s="34">
        <f>SUMIF('Hoist 3'!$B:$B,Lists!$A$41,'Hoist 3'!$E:$E)</f>
        <v>0</v>
      </c>
      <c r="IF32" s="34">
        <f>SUMIF('Hoist 3'!$B:$B,Lists!$A$41,'Hoist 3'!$F:$F)</f>
        <v>0</v>
      </c>
      <c r="IG32" s="34">
        <f>SUMIF('Hoist 3'!$B:$B,Lists!$A$41,'Hoist 3'!$G:$G)</f>
        <v>0</v>
      </c>
      <c r="IH32" s="34">
        <f>SUMIF('Hoist 3'!$B:$B,Lists!$A$41,'Hoist 3'!$H:$H)</f>
        <v>0</v>
      </c>
      <c r="II32" s="34">
        <f>SUMIF('Hoist 3'!$B:$B,Lists!$A$41,'Hoist 3'!$I:$I)</f>
        <v>0</v>
      </c>
    </row>
    <row r="33" spans="1:243" ht="19.5" customHeight="1" x14ac:dyDescent="0.3">
      <c r="A33" s="35" t="s">
        <v>104</v>
      </c>
      <c r="B33" s="36">
        <f>'Hoist 4'!D2</f>
        <v>46161</v>
      </c>
      <c r="C33" s="37" t="s">
        <v>77</v>
      </c>
      <c r="D33" s="38">
        <f>SUMIF('Hoist 4'!$B:$B,Lists!$A$2,'Hoist 4'!$C:$C)</f>
        <v>0</v>
      </c>
      <c r="E33" s="38">
        <f>SUMIF('Hoist 4'!$B:$B,Lists!$A$2,'Hoist 4'!$E:$E)</f>
        <v>0</v>
      </c>
      <c r="F33" s="38">
        <f>SUMIF('Hoist 4'!$B:$B,Lists!$A$2,'Hoist 4'!$F:$F)</f>
        <v>0</v>
      </c>
      <c r="G33" s="38">
        <f>SUMIF('Hoist 4'!$B:$B,Lists!$A$2,'Hoist 4'!$G:$G)</f>
        <v>0</v>
      </c>
      <c r="H33" s="38">
        <f>SUMIF('Hoist 4'!$B:$B,Lists!$A$2,'Hoist 4'!$H:$H)</f>
        <v>0</v>
      </c>
      <c r="I33" s="38">
        <f>SUMIF('Hoist 4'!$B:$B,Lists!$A$2,'Hoist 4'!$I:$I)</f>
        <v>0</v>
      </c>
      <c r="J33" s="38">
        <f>SUMIF('Hoist 4'!$B:$B,Lists!$A$3,'Hoist 4'!$C:$C)</f>
        <v>156</v>
      </c>
      <c r="K33" s="38">
        <f>SUMIF('Hoist 4'!$B:$B,Lists!$A$3,'Hoist 4'!$E:$E)</f>
        <v>247</v>
      </c>
      <c r="L33" s="38">
        <f>SUMIF('Hoist 4'!$B:$B,Lists!$A$3,'Hoist 4'!$F:$F)</f>
        <v>0</v>
      </c>
      <c r="M33" s="38">
        <f>SUMIF('Hoist 4'!$B:$B,Lists!$A$3,'Hoist 4'!$G:$G)</f>
        <v>0</v>
      </c>
      <c r="N33" s="38">
        <f>SUMIF('Hoist 4'!$B:$B,Lists!$A$3,'Hoist 4'!$H:$H)</f>
        <v>0</v>
      </c>
      <c r="O33" s="38">
        <f>SUMIF('Hoist 4'!$B:$B,Lists!$A$3,'Hoist 4'!$I:$I)</f>
        <v>0</v>
      </c>
      <c r="P33" s="38">
        <f>SUMIF('Hoist 4'!$B:$B,Lists!$A$4,'Hoist 4'!$C:$C)</f>
        <v>0</v>
      </c>
      <c r="Q33" s="38">
        <f>SUMIF('Hoist 4'!$B:$B,Lists!$A$4,'Hoist 4'!$E:$E)</f>
        <v>0</v>
      </c>
      <c r="R33" s="38">
        <f>SUMIF('Hoist 4'!$B:$B,Lists!$A$4,'Hoist 4'!$F:$F)</f>
        <v>0</v>
      </c>
      <c r="S33" s="38">
        <f>SUMIF('Hoist 4'!$B:$B,Lists!$A$4,'Hoist 4'!$G:$G)</f>
        <v>0</v>
      </c>
      <c r="T33" s="38">
        <f>SUMIF('Hoist 4'!$B:$B,Lists!$A$4,'Hoist 4'!$H:$H)</f>
        <v>0</v>
      </c>
      <c r="U33" s="38">
        <f>SUMIF('Hoist 4'!$B:$B,Lists!$A$4,'Hoist 4'!$I:$I)</f>
        <v>0</v>
      </c>
      <c r="V33" s="38">
        <f>SUMIF('Hoist 4'!$B:$B,Lists!$A$5,'Hoist 4'!$C:$C)</f>
        <v>0</v>
      </c>
      <c r="W33" s="38">
        <f>SUMIF('Hoist 4'!$B:$B,Lists!$A$5,'Hoist 4'!$E:$E)</f>
        <v>0</v>
      </c>
      <c r="X33" s="38">
        <f>SUMIF('Hoist 4'!$B:$B,Lists!$A$5,'Hoist 4'!$F:$F)</f>
        <v>0</v>
      </c>
      <c r="Y33" s="38">
        <f>SUMIF('Hoist 4'!$B:$B,Lists!$A$5,'Hoist 4'!$G:$G)</f>
        <v>0</v>
      </c>
      <c r="Z33" s="38">
        <f>SUMIF('Hoist 4'!$B:$B,Lists!$A$5,'Hoist 4'!$H:$H)</f>
        <v>0</v>
      </c>
      <c r="AA33" s="38">
        <f>SUMIF('Hoist 4'!$B:$B,Lists!$A$5,'Hoist 4'!$I:$I)</f>
        <v>0</v>
      </c>
      <c r="AB33" s="38">
        <f>SUMIF('Hoist 4'!$B:$B,Lists!$A$6,'Hoist 4'!$C:$C)</f>
        <v>0</v>
      </c>
      <c r="AC33" s="38">
        <f>SUMIF('Hoist 4'!$B:$B,Lists!$A$6,'Hoist 4'!$E:$E)</f>
        <v>0</v>
      </c>
      <c r="AD33" s="38">
        <f>SUMIF('Hoist 4'!$B:$B,Lists!$A$6,'Hoist 4'!$F:$F)</f>
        <v>0</v>
      </c>
      <c r="AE33" s="38">
        <f>SUMIF('Hoist 4'!$B:$B,Lists!$A$6,'Hoist 4'!$G:$G)</f>
        <v>0</v>
      </c>
      <c r="AF33" s="38">
        <f>SUMIF('Hoist 4'!$B:$B,Lists!$A$6,'Hoist 4'!$H:$H)</f>
        <v>0</v>
      </c>
      <c r="AG33" s="38">
        <f>SUMIF('Hoist 4'!$B:$B,Lists!$A$6,'Hoist 4'!$I:$I)</f>
        <v>0</v>
      </c>
      <c r="AH33" s="38">
        <f>SUMIF('Hoist 4'!$B:$B,Lists!$A$7,'Hoist 4'!$C:$C)</f>
        <v>0</v>
      </c>
      <c r="AI33" s="38">
        <f>SUMIF('Hoist 4'!$B:$B,Lists!$A$7,'Hoist 4'!$E:$E)</f>
        <v>0</v>
      </c>
      <c r="AJ33" s="38">
        <f>SUMIF('Hoist 4'!$B:$B,Lists!$A$7,'Hoist 4'!$F:$F)</f>
        <v>0</v>
      </c>
      <c r="AK33" s="38">
        <f>SUMIF('Hoist 4'!$B:$B,Lists!$A$7,'Hoist 4'!$G:$G)</f>
        <v>0</v>
      </c>
      <c r="AL33" s="38">
        <f>SUMIF('Hoist 4'!$B:$B,Lists!$A$7,'Hoist 4'!$H:$H)</f>
        <v>0</v>
      </c>
      <c r="AM33" s="38">
        <f>SUMIF('Hoist 4'!$B:$B,Lists!$A$7,'Hoist 4'!$I:$I)</f>
        <v>0</v>
      </c>
      <c r="AN33" s="38">
        <f>SUMIF('Hoist 4'!$B:$B,Lists!$A$8,'Hoist 4'!$C:$C)</f>
        <v>0</v>
      </c>
      <c r="AO33" s="38">
        <f>SUMIF('Hoist 4'!$B:$B,Lists!$A$8,'Hoist 4'!$E:$E)</f>
        <v>0</v>
      </c>
      <c r="AP33" s="38">
        <f>SUMIF('Hoist 4'!$B:$B,Lists!$A$8,'Hoist 4'!$F:$F)</f>
        <v>0</v>
      </c>
      <c r="AQ33" s="38">
        <f>SUMIF('Hoist 4'!$B:$B,Lists!$A$8,'Hoist 4'!$G:$G)</f>
        <v>0</v>
      </c>
      <c r="AR33" s="38">
        <f>SUMIF('Hoist 4'!$B:$B,Lists!$A$8,'Hoist 4'!$H:$H)</f>
        <v>0</v>
      </c>
      <c r="AS33" s="38">
        <f>SUMIF('Hoist 4'!$B:$B,Lists!$A$8,'Hoist 4'!$I:$I)</f>
        <v>0</v>
      </c>
      <c r="AT33" s="38">
        <f>SUMIF('Hoist 4'!$B:$B,Lists!$A$9,'Hoist 4'!$C:$C)</f>
        <v>0</v>
      </c>
      <c r="AU33" s="38">
        <f>SUMIF('Hoist 4'!$B:$B,Lists!$A$9,'Hoist 4'!$E:$E)</f>
        <v>0</v>
      </c>
      <c r="AV33" s="38">
        <f>SUMIF('Hoist 4'!$B:$B,Lists!$A$9,'Hoist 4'!$F:$F)</f>
        <v>0</v>
      </c>
      <c r="AW33" s="38">
        <f>SUMIF('Hoist 4'!$B:$B,Lists!$A$9,'Hoist 4'!$G:$G)</f>
        <v>0</v>
      </c>
      <c r="AX33" s="38">
        <f>SUMIF('Hoist 4'!$B:$B,Lists!$A$9,'Hoist 4'!$H:$H)</f>
        <v>0</v>
      </c>
      <c r="AY33" s="38">
        <f>SUMIF('Hoist 4'!$B:$B,Lists!$A$9,'Hoist 4'!$I:$I)</f>
        <v>0</v>
      </c>
      <c r="AZ33" s="38">
        <f>SUMIF('Hoist 4'!$B:$B,Lists!$A$10,'Hoist 4'!$C:$C)</f>
        <v>0</v>
      </c>
      <c r="BA33" s="38">
        <f>SUMIF('Hoist 4'!$B:$B,Lists!$A$10,'Hoist 4'!$E:$E)</f>
        <v>0</v>
      </c>
      <c r="BB33" s="38">
        <f>SUMIF('Hoist 4'!$B:$B,Lists!$A$10,'Hoist 4'!$F:$F)</f>
        <v>0</v>
      </c>
      <c r="BC33" s="38">
        <f>SUMIF('Hoist 4'!$B:$B,Lists!$A$10,'Hoist 4'!$G:$G)</f>
        <v>0</v>
      </c>
      <c r="BD33" s="38">
        <f>SUMIF('Hoist 4'!$B:$B,Lists!$A$10,'Hoist 4'!$H:$H)</f>
        <v>0</v>
      </c>
      <c r="BE33" s="38">
        <f>SUMIF('Hoist 4'!$B:$B,Lists!$A$10,'Hoist 4'!$I:$I)</f>
        <v>0</v>
      </c>
      <c r="BF33" s="38">
        <f>SUMIF('Hoist 4'!$B:$B,Lists!$A$11,'Hoist 4'!$C:$C)</f>
        <v>0</v>
      </c>
      <c r="BG33" s="38">
        <f>SUMIF('Hoist 4'!$B:$B,Lists!$A$11,'Hoist 4'!$E:$E)</f>
        <v>0</v>
      </c>
      <c r="BH33" s="38">
        <f>SUMIF('Hoist 4'!$B:$B,Lists!$A$11,'Hoist 4'!$F:$F)</f>
        <v>0</v>
      </c>
      <c r="BI33" s="38">
        <f>SUMIF('Hoist 4'!$B:$B,Lists!$A$11,'Hoist 4'!$G:$G)</f>
        <v>0</v>
      </c>
      <c r="BJ33" s="38">
        <f>SUMIF('Hoist 4'!$B:$B,Lists!$A$11,'Hoist 4'!$H:$H)</f>
        <v>0</v>
      </c>
      <c r="BK33" s="38">
        <f>SUMIF('Hoist 4'!$B:$B,Lists!$A$11,'Hoist 4'!$I:$I)</f>
        <v>0</v>
      </c>
      <c r="BL33" s="38">
        <f>SUMIF('Hoist 4'!$B:$B,Lists!$A$12,'Hoist 4'!$C:$C)</f>
        <v>0</v>
      </c>
      <c r="BM33" s="38">
        <f>SUMIF('Hoist 4'!$B:$B,Lists!$A$12,'Hoist 4'!$E:$E)</f>
        <v>0</v>
      </c>
      <c r="BN33" s="38">
        <f>SUMIF('Hoist 4'!$B:$B,Lists!$A$12,'Hoist 4'!$F:$F)</f>
        <v>0</v>
      </c>
      <c r="BO33" s="38">
        <f>SUMIF('Hoist 4'!$B:$B,Lists!$A$12,'Hoist 4'!$G:$G)</f>
        <v>0</v>
      </c>
      <c r="BP33" s="38">
        <f>SUMIF('Hoist 4'!$B:$B,Lists!$A$12,'Hoist 4'!$H:$H)</f>
        <v>0</v>
      </c>
      <c r="BQ33" s="38">
        <f>SUMIF('Hoist 4'!$B:$B,Lists!$A$12,'Hoist 4'!$I:$I)</f>
        <v>0</v>
      </c>
      <c r="BR33" s="38">
        <f>SUMIF('Hoist 4'!$B:$B,Lists!$A$13,'Hoist 4'!$C:$C)</f>
        <v>0</v>
      </c>
      <c r="BS33" s="38">
        <f>SUMIF('Hoist 4'!$B:$B,Lists!$A$13,'Hoist 4'!$E:$E)</f>
        <v>0</v>
      </c>
      <c r="BT33" s="38">
        <f>SUMIF('Hoist 4'!$B:$B,Lists!$A$13,'Hoist 4'!$F:$F)</f>
        <v>0</v>
      </c>
      <c r="BU33" s="38">
        <f>SUMIF('Hoist 4'!$B:$B,Lists!$A$13,'Hoist 4'!$G:$G)</f>
        <v>0</v>
      </c>
      <c r="BV33" s="38">
        <f>SUMIF('Hoist 4'!$B:$B,Lists!$A$13,'Hoist 4'!$H:$H)</f>
        <v>0</v>
      </c>
      <c r="BW33" s="38">
        <f>SUMIF('Hoist 4'!$B:$B,Lists!$A$13,'Hoist 4'!$I:$I)</f>
        <v>0</v>
      </c>
      <c r="BX33" s="38">
        <f>SUMIF('Hoist 4'!$B:$B,Lists!$A$14,'Hoist 4'!$C:$C)</f>
        <v>0</v>
      </c>
      <c r="BY33" s="38">
        <f>SUMIF('Hoist 4'!$B:$B,Lists!$A$14,'Hoist 4'!$E:$E)</f>
        <v>0</v>
      </c>
      <c r="BZ33" s="38">
        <f>SUMIF('Hoist 4'!$B:$B,Lists!$A$14,'Hoist 4'!$F:$F)</f>
        <v>0</v>
      </c>
      <c r="CA33" s="38">
        <f>SUMIF('Hoist 4'!$B:$B,Lists!$A$14,'Hoist 4'!$G:$G)</f>
        <v>0</v>
      </c>
      <c r="CB33" s="38">
        <f>SUMIF('Hoist 4'!$B:$B,Lists!$A$14,'Hoist 4'!$H:$H)</f>
        <v>0</v>
      </c>
      <c r="CC33" s="38">
        <f>SUMIF('Hoist 4'!$B:$B,Lists!$A$14,'Hoist 4'!$I:$I)</f>
        <v>0</v>
      </c>
      <c r="CD33" s="38">
        <f>SUMIF('Hoist 4'!$B:$B,Lists!$A$15,'Hoist 4'!$C:$C)</f>
        <v>0</v>
      </c>
      <c r="CE33" s="38">
        <f>SUMIF('Hoist 4'!$B:$B,Lists!$A$15,'Hoist 4'!$E:$E)</f>
        <v>0</v>
      </c>
      <c r="CF33" s="38">
        <f>SUMIF('Hoist 4'!$B:$B,Lists!$A$15,'Hoist 4'!$F:$F)</f>
        <v>0</v>
      </c>
      <c r="CG33" s="38">
        <f>SUMIF('Hoist 4'!$B:$B,Lists!$A$15,'Hoist 4'!$G:$G)</f>
        <v>0</v>
      </c>
      <c r="CH33" s="38">
        <f>SUMIF('Hoist 4'!$B:$B,Lists!$A$15,'Hoist 4'!$H:$H)</f>
        <v>0</v>
      </c>
      <c r="CI33" s="38">
        <f>SUMIF('Hoist 4'!$B:$B,Lists!$A$15,'Hoist 4'!$I:$I)</f>
        <v>0</v>
      </c>
      <c r="CJ33" s="38">
        <f>SUMIF('Hoist 4'!$B:$B,Lists!$A$16,'Hoist 4'!$C:$C)</f>
        <v>31</v>
      </c>
      <c r="CK33" s="38">
        <f>SUMIF('Hoist 4'!$B:$B,Lists!$A$16,'Hoist 4'!$E:$E)</f>
        <v>21</v>
      </c>
      <c r="CL33" s="38">
        <f>SUMIF('Hoist 4'!$B:$B,Lists!$A$16,'Hoist 4'!$F:$F)</f>
        <v>0</v>
      </c>
      <c r="CM33" s="38">
        <f>SUMIF('Hoist 4'!$B:$B,Lists!$A$16,'Hoist 4'!$G:$G)</f>
        <v>0</v>
      </c>
      <c r="CN33" s="38">
        <f>SUMIF('Hoist 4'!$B:$B,Lists!$A$16,'Hoist 4'!$H:$H)</f>
        <v>0</v>
      </c>
      <c r="CO33" s="38">
        <f>SUMIF('Hoist 4'!$B:$B,Lists!$A$16,'Hoist 4'!$I:$I)</f>
        <v>0</v>
      </c>
      <c r="CP33" s="38">
        <f>SUMIF('Hoist 4'!$B:$B,Lists!$A$17,'Hoist 4'!$C:$C)</f>
        <v>0</v>
      </c>
      <c r="CQ33" s="38">
        <f>SUMIF('Hoist 4'!$B:$B,Lists!$A$17,'Hoist 4'!$E:$E)</f>
        <v>0</v>
      </c>
      <c r="CR33" s="38">
        <f>SUMIF('Hoist 4'!$B:$B,Lists!$A$17,'Hoist 4'!$F:$F)</f>
        <v>0</v>
      </c>
      <c r="CS33" s="38">
        <f>SUMIF('Hoist 4'!$B:$B,Lists!$A$17,'Hoist 4'!$G:$G)</f>
        <v>0</v>
      </c>
      <c r="CT33" s="38">
        <f>SUMIF('Hoist 4'!$B:$B,Lists!$A$17,'Hoist 4'!$H:$H)</f>
        <v>0</v>
      </c>
      <c r="CU33" s="38">
        <f>SUMIF('Hoist 4'!$B:$B,Lists!$A$17,'Hoist 4'!$I:$I)</f>
        <v>0</v>
      </c>
      <c r="CV33" s="38">
        <f>SUMIF('Hoist 4'!$B:$B,Lists!$A$18,'Hoist 4'!$C:$C)</f>
        <v>0</v>
      </c>
      <c r="CW33" s="38">
        <f>SUMIF('Hoist 4'!$B:$B,Lists!$A$18,'Hoist 4'!$E:$E)</f>
        <v>0</v>
      </c>
      <c r="CX33" s="38">
        <f>SUMIF('Hoist 4'!$B:$B,Lists!$A$18,'Hoist 4'!$F:$F)</f>
        <v>0</v>
      </c>
      <c r="CY33" s="38">
        <f>SUMIF('Hoist 4'!$B:$B,Lists!$A$18,'Hoist 4'!$G:$G)</f>
        <v>0</v>
      </c>
      <c r="CZ33" s="38">
        <f>SUMIF('Hoist 4'!$B:$B,Lists!$A$18,'Hoist 4'!$H:$H)</f>
        <v>0</v>
      </c>
      <c r="DA33" s="38">
        <f>SUMIF('Hoist 4'!$B:$B,Lists!$A$18,'Hoist 4'!$I:$I)</f>
        <v>0</v>
      </c>
      <c r="DB33" s="38">
        <f>SUMIF('Hoist 4'!$B:$B,Lists!$A$19,'Hoist 4'!$C:$C)</f>
        <v>0</v>
      </c>
      <c r="DC33" s="38">
        <f>SUMIF('Hoist 4'!$B:$B,Lists!$A$19,'Hoist 4'!$E:$E)</f>
        <v>0</v>
      </c>
      <c r="DD33" s="38">
        <f>SUMIF('Hoist 4'!$B:$B,Lists!$A$19,'Hoist 4'!$F:$F)</f>
        <v>0</v>
      </c>
      <c r="DE33" s="38">
        <f>SUMIF('Hoist 4'!$B:$B,Lists!$A$19,'Hoist 4'!$G:$G)</f>
        <v>0</v>
      </c>
      <c r="DF33" s="38">
        <f>SUMIF('Hoist 4'!$B:$B,Lists!$A$19,'Hoist 4'!$H:$H)</f>
        <v>0</v>
      </c>
      <c r="DG33" s="38">
        <f>SUMIF('Hoist 4'!$B:$B,Lists!$A$19,'Hoist 4'!$I:$I)</f>
        <v>0</v>
      </c>
      <c r="DH33" s="38">
        <f>SUMIF('Hoist 4'!$B:$B,Lists!$A$20,'Hoist 4'!$C:$C)</f>
        <v>0</v>
      </c>
      <c r="DI33" s="38">
        <f>SUMIF('Hoist 4'!$B:$B,Lists!$A$20,'Hoist 4'!$E:$E)</f>
        <v>0</v>
      </c>
      <c r="DJ33" s="38">
        <f>SUMIF('Hoist 4'!$B:$B,Lists!$A$20,'Hoist 4'!$F:$F)</f>
        <v>0</v>
      </c>
      <c r="DK33" s="38">
        <f>SUMIF('Hoist 4'!$B:$B,Lists!$A$20,'Hoist 4'!$G:$G)</f>
        <v>0</v>
      </c>
      <c r="DL33" s="38">
        <f>SUMIF('Hoist 4'!$B:$B,Lists!$A$20,'Hoist 4'!$H:$H)</f>
        <v>0</v>
      </c>
      <c r="DM33" s="38">
        <f>SUMIF('Hoist 4'!$B:$B,Lists!$A$20,'Hoist 4'!$I:$I)</f>
        <v>0</v>
      </c>
      <c r="DN33" s="38">
        <f>SUMIF('Hoist 4'!$B:$B,Lists!$A$21,'Hoist 4'!$C:$C)</f>
        <v>0</v>
      </c>
      <c r="DO33" s="38">
        <f>SUMIF('Hoist 4'!$B:$B,Lists!$A$21,'Hoist 4'!$E:$E)</f>
        <v>0</v>
      </c>
      <c r="DP33" s="38">
        <f>SUMIF('Hoist 4'!$B:$B,Lists!$A$21,'Hoist 4'!$F:$F)</f>
        <v>0</v>
      </c>
      <c r="DQ33" s="38">
        <f>SUMIF('Hoist 4'!$B:$B,Lists!$A$21,'Hoist 4'!$G:$G)</f>
        <v>0</v>
      </c>
      <c r="DR33" s="38">
        <f>SUMIF('Hoist 4'!$B:$B,Lists!$A$21,'Hoist 4'!$H:$H)</f>
        <v>0</v>
      </c>
      <c r="DS33" s="38">
        <f>SUMIF('Hoist 4'!$B:$B,Lists!$A$21,'Hoist 4'!$I:$I)</f>
        <v>0</v>
      </c>
      <c r="DT33" s="38">
        <f>SUMIF('Hoist 4'!$B:$B,Lists!$A$22,'Hoist 4'!$C:$C)</f>
        <v>0</v>
      </c>
      <c r="DU33" s="38">
        <f>SUMIF('Hoist 4'!$B:$B,Lists!$A$22,'Hoist 4'!$E:$E)</f>
        <v>0</v>
      </c>
      <c r="DV33" s="38">
        <f>SUMIF('Hoist 4'!$B:$B,Lists!$A$22,'Hoist 4'!$F:$F)</f>
        <v>0</v>
      </c>
      <c r="DW33" s="38">
        <f>SUMIF('Hoist 4'!$B:$B,Lists!$A$22,'Hoist 4'!$G:$G)</f>
        <v>0</v>
      </c>
      <c r="DX33" s="38">
        <f>SUMIF('Hoist 4'!$B:$B,Lists!$A$22,'Hoist 4'!$H:$H)</f>
        <v>0</v>
      </c>
      <c r="DY33" s="38">
        <f>SUMIF('Hoist 4'!$B:$B,Lists!$A$22,'Hoist 4'!$I:$I)</f>
        <v>0</v>
      </c>
      <c r="DZ33" s="38">
        <f>SUMIF('Hoist 4'!$B:$B,Lists!$A$23,'Hoist 4'!$C:$C)</f>
        <v>0</v>
      </c>
      <c r="EA33" s="38">
        <f>SUMIF('Hoist 4'!$B:$B,Lists!$A$23,'Hoist 4'!$E:$E)</f>
        <v>0</v>
      </c>
      <c r="EB33" s="38">
        <f>SUMIF('Hoist 4'!$B:$B,Lists!$A$23,'Hoist 4'!$F:$F)</f>
        <v>0</v>
      </c>
      <c r="EC33" s="38">
        <f>SUMIF('Hoist 4'!$B:$B,Lists!$A$23,'Hoist 4'!$G:$G)</f>
        <v>0</v>
      </c>
      <c r="ED33" s="38">
        <f>SUMIF('Hoist 4'!$B:$B,Lists!$A$23,'Hoist 4'!$H:$H)</f>
        <v>0</v>
      </c>
      <c r="EE33" s="38">
        <f>SUMIF('Hoist 4'!$B:$B,Lists!$A$23,'Hoist 4'!$I:$I)</f>
        <v>0</v>
      </c>
      <c r="EF33" s="38">
        <f>SUMIF('Hoist 4'!$B:$B,Lists!$A$24,'Hoist 4'!$C:$C)</f>
        <v>0</v>
      </c>
      <c r="EG33" s="38">
        <f>SUMIF('Hoist 4'!$B:$B,Lists!$A$24,'Hoist 4'!$E:$E)</f>
        <v>0</v>
      </c>
      <c r="EH33" s="38">
        <f>SUMIF('Hoist 4'!$B:$B,Lists!$A$24,'Hoist 4'!$F:$F)</f>
        <v>0</v>
      </c>
      <c r="EI33" s="38">
        <f>SUMIF('Hoist 4'!$B:$B,Lists!$A$24,'Hoist 4'!$G:$G)</f>
        <v>0</v>
      </c>
      <c r="EJ33" s="38">
        <f>SUMIF('Hoist 4'!$B:$B,Lists!$A$24,'Hoist 4'!$H:$H)</f>
        <v>0</v>
      </c>
      <c r="EK33" s="38">
        <f>SUMIF('Hoist 4'!$B:$B,Lists!$A$24,'Hoist 4'!$I:$I)</f>
        <v>0</v>
      </c>
      <c r="EL33" s="38">
        <f>SUMIF('Hoist 4'!$B:$B,Lists!$A$25,'Hoist 4'!$C:$C)</f>
        <v>0</v>
      </c>
      <c r="EM33" s="38">
        <f>SUMIF('Hoist 4'!$B:$B,Lists!$A$25,'Hoist 4'!$E:$E)</f>
        <v>0</v>
      </c>
      <c r="EN33" s="38">
        <f>SUMIF('Hoist 4'!$B:$B,Lists!$A$25,'Hoist 4'!$F:$F)</f>
        <v>0</v>
      </c>
      <c r="EO33" s="38">
        <f>SUMIF('Hoist 4'!$B:$B,Lists!$A$25,'Hoist 4'!$G:$G)</f>
        <v>0</v>
      </c>
      <c r="EP33" s="38">
        <f>SUMIF('Hoist 4'!$B:$B,Lists!$A$25,'Hoist 4'!$H:$H)</f>
        <v>0</v>
      </c>
      <c r="EQ33" s="38">
        <f>SUMIF('Hoist 4'!$B:$B,Lists!$A$25,'Hoist 4'!$I:$I)</f>
        <v>0</v>
      </c>
      <c r="ER33" s="38">
        <f>SUMIF('Hoist 4'!$B:$B,Lists!$A$26,'Hoist 4'!$C:$C)</f>
        <v>0</v>
      </c>
      <c r="ES33" s="38">
        <f>SUMIF('Hoist 4'!$B:$B,Lists!$A$26,'Hoist 4'!$E:$E)</f>
        <v>0</v>
      </c>
      <c r="ET33" s="38">
        <f>SUMIF('Hoist 4'!$B:$B,Lists!$A$26,'Hoist 4'!$F:$F)</f>
        <v>0</v>
      </c>
      <c r="EU33" s="38">
        <f>SUMIF('Hoist 4'!$B:$B,Lists!$A$26,'Hoist 4'!$G:$G)</f>
        <v>0</v>
      </c>
      <c r="EV33" s="38">
        <f>SUMIF('Hoist 4'!$B:$B,Lists!$A$26,'Hoist 4'!$H:$H)</f>
        <v>0</v>
      </c>
      <c r="EW33" s="38">
        <f>SUMIF('Hoist 4'!$B:$B,Lists!$A$26,'Hoist 4'!$I:$I)</f>
        <v>0</v>
      </c>
      <c r="EX33" s="38">
        <f>SUMIF('Hoist 4'!$B:$B,Lists!$A$27,'Hoist 4'!$C:$C)</f>
        <v>0</v>
      </c>
      <c r="EY33" s="38">
        <f>SUMIF('Hoist 4'!$B:$B,Lists!$A$27,'Hoist 4'!$E:$E)</f>
        <v>0</v>
      </c>
      <c r="EZ33" s="38">
        <f>SUMIF('Hoist 4'!$B:$B,Lists!$A$27,'Hoist 4'!$F:$F)</f>
        <v>0</v>
      </c>
      <c r="FA33" s="38">
        <f>SUMIF('Hoist 4'!$B:$B,Lists!$A$27,'Hoist 4'!$G:$G)</f>
        <v>0</v>
      </c>
      <c r="FB33" s="38">
        <f>SUMIF('Hoist 4'!$B:$B,Lists!$A$27,'Hoist 4'!$H:$H)</f>
        <v>0</v>
      </c>
      <c r="FC33" s="38">
        <f>SUMIF('Hoist 4'!$B:$B,Lists!$A$27,'Hoist 4'!$I:$I)</f>
        <v>0</v>
      </c>
      <c r="FD33" s="38">
        <f>SUMIF('Hoist 4'!$B:$B,Lists!$A$28,'Hoist 4'!$C:$C)</f>
        <v>0</v>
      </c>
      <c r="FE33" s="38">
        <f>SUMIF('Hoist 4'!$B:$B,Lists!$A$28,'Hoist 4'!$E:$E)</f>
        <v>0</v>
      </c>
      <c r="FF33" s="38">
        <f>SUMIF('Hoist 4'!$B:$B,Lists!$A$28,'Hoist 4'!$F:$F)</f>
        <v>0</v>
      </c>
      <c r="FG33" s="38">
        <f>SUMIF('Hoist 4'!$B:$B,Lists!$A$28,'Hoist 4'!$G:$G)</f>
        <v>0</v>
      </c>
      <c r="FH33" s="38">
        <f>SUMIF('Hoist 4'!$B:$B,Lists!$A$28,'Hoist 4'!$H:$H)</f>
        <v>0</v>
      </c>
      <c r="FI33" s="38">
        <f>SUMIF('Hoist 4'!$B:$B,Lists!$A$28,'Hoist 4'!$I:$I)</f>
        <v>0</v>
      </c>
      <c r="FJ33" s="38">
        <f>SUMIF('Hoist 4'!$B:$B,Lists!$A$29,'Hoist 4'!$C:$C)</f>
        <v>0</v>
      </c>
      <c r="FK33" s="38">
        <f>SUMIF('Hoist 4'!$B:$B,Lists!$A$29,'Hoist 4'!$E:$E)</f>
        <v>9</v>
      </c>
      <c r="FL33" s="38">
        <f>SUMIF('Hoist 4'!$B:$B,Lists!$A$29,'Hoist 4'!$F:$F)</f>
        <v>0</v>
      </c>
      <c r="FM33" s="38">
        <f>SUMIF('Hoist 4'!$B:$B,Lists!$A$29,'Hoist 4'!$G:$G)</f>
        <v>0</v>
      </c>
      <c r="FN33" s="38">
        <f>SUMIF('Hoist 4'!$B:$B,Lists!$A$29,'Hoist 4'!$H:$H)</f>
        <v>0</v>
      </c>
      <c r="FO33" s="38">
        <f>SUMIF('Hoist 4'!$B:$B,Lists!$A$29,'Hoist 4'!$I:$I)</f>
        <v>0</v>
      </c>
      <c r="FP33" s="38">
        <f>SUMIF('Hoist 4'!$B:$B,Lists!$A$30,'Hoist 4'!$C:$C)</f>
        <v>0</v>
      </c>
      <c r="FQ33" s="38">
        <f>SUMIF('Hoist 4'!$B:$B,Lists!$A$30,'Hoist 4'!$E:$E)</f>
        <v>0</v>
      </c>
      <c r="FR33" s="38">
        <f>SUMIF('Hoist 4'!$B:$B,Lists!$A$30,'Hoist 4'!$F:$F)</f>
        <v>0</v>
      </c>
      <c r="FS33" s="38">
        <f>SUMIF('Hoist 4'!$B:$B,Lists!$A$30,'Hoist 4'!$G:$G)</f>
        <v>0</v>
      </c>
      <c r="FT33" s="38">
        <f>SUMIF('Hoist 4'!$B:$B,Lists!$A$30,'Hoist 4'!$H:$H)</f>
        <v>0</v>
      </c>
      <c r="FU33" s="38">
        <f>SUMIF('Hoist 4'!$B:$B,Lists!$A$30,'Hoist 4'!$I:$I)</f>
        <v>0</v>
      </c>
      <c r="FV33" s="38">
        <f>SUMIF('Hoist 4'!$B:$B,Lists!$A$31,'Hoist 4'!$C:$C)</f>
        <v>0</v>
      </c>
      <c r="FW33" s="38">
        <f>SUMIF('Hoist 4'!$B:$B,Lists!$A$31,'Hoist 4'!$E:$E)</f>
        <v>0</v>
      </c>
      <c r="FX33" s="38">
        <f>SUMIF('Hoist 4'!$B:$B,Lists!$A$31,'Hoist 4'!$F:$F)</f>
        <v>0</v>
      </c>
      <c r="FY33" s="38">
        <f>SUMIF('Hoist 4'!$B:$B,Lists!$A$31,'Hoist 4'!$G:$G)</f>
        <v>0</v>
      </c>
      <c r="FZ33" s="38">
        <f>SUMIF('Hoist 4'!$B:$B,Lists!$A$31,'Hoist 4'!$H:$H)</f>
        <v>0</v>
      </c>
      <c r="GA33" s="38">
        <f>SUMIF('Hoist 4'!$B:$B,Lists!$A$31,'Hoist 4'!$I:$I)</f>
        <v>0</v>
      </c>
      <c r="GB33" s="38">
        <f>SUMIF('Hoist 4'!$B:$B,Lists!$A$32,'Hoist 4'!$C:$C)</f>
        <v>0</v>
      </c>
      <c r="GC33" s="38">
        <f>SUMIF('Hoist 4'!$B:$B,Lists!$A$32,'Hoist 4'!$E:$E)</f>
        <v>0</v>
      </c>
      <c r="GD33" s="38">
        <f>SUMIF('Hoist 4'!$B:$B,Lists!$A$32,'Hoist 4'!$F:$F)</f>
        <v>0</v>
      </c>
      <c r="GE33" s="38">
        <f>SUMIF('Hoist 4'!$B:$B,Lists!$A$32,'Hoist 4'!$G:$G)</f>
        <v>0</v>
      </c>
      <c r="GF33" s="38">
        <f>SUMIF('Hoist 4'!$B:$B,Lists!$A$32,'Hoist 4'!$H:$H)</f>
        <v>0</v>
      </c>
      <c r="GG33" s="38">
        <f>SUMIF('Hoist 4'!$B:$B,Lists!$A$32,'Hoist 4'!$I:$I)</f>
        <v>0</v>
      </c>
      <c r="GH33" s="38">
        <f>SUMIF('Hoist 4'!$B:$B,Lists!$A$33,'Hoist 4'!$C:$C)</f>
        <v>0</v>
      </c>
      <c r="GI33" s="38">
        <f>SUMIF('Hoist 4'!$B:$B,Lists!$A$33,'Hoist 4'!$E:$E)</f>
        <v>0</v>
      </c>
      <c r="GJ33" s="38">
        <f>SUMIF('Hoist 4'!$B:$B,Lists!$A$33,'Hoist 4'!$F:$F)</f>
        <v>0</v>
      </c>
      <c r="GK33" s="38">
        <f>SUMIF('Hoist 4'!$B:$B,Lists!$A$33,'Hoist 4'!$G:$G)</f>
        <v>0</v>
      </c>
      <c r="GL33" s="38">
        <f>SUMIF('Hoist 4'!$B:$B,Lists!$A$33,'Hoist 4'!$H:$H)</f>
        <v>0</v>
      </c>
      <c r="GM33" s="38">
        <f>SUMIF('Hoist 4'!$B:$B,Lists!$A$33,'Hoist 4'!$I:$I)</f>
        <v>0</v>
      </c>
      <c r="GN33" s="38">
        <f>SUMIF('Hoist 4'!$B:$B,Lists!$A$34,'Hoist 4'!$C:$C)</f>
        <v>0</v>
      </c>
      <c r="GO33" s="38">
        <f>SUMIF('Hoist 4'!$B:$B,Lists!$A$34,'Hoist 4'!$E:$E)</f>
        <v>0</v>
      </c>
      <c r="GP33" s="38">
        <f>SUMIF('Hoist 4'!$B:$B,Lists!$A$34,'Hoist 4'!$F:$F)</f>
        <v>0</v>
      </c>
      <c r="GQ33" s="38">
        <f>SUMIF('Hoist 4'!$B:$B,Lists!$A$34,'Hoist 4'!$G:$G)</f>
        <v>0</v>
      </c>
      <c r="GR33" s="38">
        <f>SUMIF('Hoist 4'!$B:$B,Lists!$A$34,'Hoist 4'!$H:$H)</f>
        <v>0</v>
      </c>
      <c r="GS33" s="38">
        <f>SUMIF('Hoist 4'!$B:$B,Lists!$A$34,'Hoist 4'!$I:$I)</f>
        <v>0</v>
      </c>
      <c r="GT33" s="38">
        <f>SUMIF('Hoist 4'!$B:$B,Lists!$A$35,'Hoist 4'!$C:$C)</f>
        <v>0</v>
      </c>
      <c r="GU33" s="38">
        <f>SUMIF('Hoist 4'!$B:$B,Lists!$A$35,'Hoist 4'!$E:$E)</f>
        <v>0</v>
      </c>
      <c r="GV33" s="38">
        <f>SUMIF('Hoist 4'!$B:$B,Lists!$A$35,'Hoist 4'!$F:$F)</f>
        <v>0</v>
      </c>
      <c r="GW33" s="38">
        <f>SUMIF('Hoist 4'!$B:$B,Lists!$A$35,'Hoist 4'!$G:$G)</f>
        <v>0</v>
      </c>
      <c r="GX33" s="38">
        <f>SUMIF('Hoist 4'!$B:$B,Lists!$A$35,'Hoist 4'!$H:$H)</f>
        <v>0</v>
      </c>
      <c r="GY33" s="38">
        <f>SUMIF('Hoist 4'!$B:$B,Lists!$A$35,'Hoist 4'!$I:$I)</f>
        <v>0</v>
      </c>
      <c r="GZ33" s="38">
        <f>SUMIF('Hoist 4'!$B:$B,Lists!$A$36,'Hoist 4'!$C:$C)</f>
        <v>0</v>
      </c>
      <c r="HA33" s="38">
        <f>SUMIF('Hoist 4'!$B:$B,Lists!$A$36,'Hoist 4'!$E:$E)</f>
        <v>0</v>
      </c>
      <c r="HB33" s="38">
        <f>SUMIF('Hoist 4'!$B:$B,Lists!$A$36,'Hoist 4'!$F:$F)</f>
        <v>0</v>
      </c>
      <c r="HC33" s="38">
        <f>SUMIF('Hoist 4'!$B:$B,Lists!$A$36,'Hoist 4'!$G:$G)</f>
        <v>0</v>
      </c>
      <c r="HD33" s="38">
        <f>SUMIF('Hoist 4'!$B:$B,Lists!$A$36,'Hoist 4'!$H:$H)</f>
        <v>0</v>
      </c>
      <c r="HE33" s="38">
        <f>SUMIF('Hoist 4'!$B:$B,Lists!$A$36,'Hoist 4'!$I:$I)</f>
        <v>0</v>
      </c>
      <c r="HF33" s="38">
        <f>SUMIF('Hoist 4'!$B:$B,Lists!$A$37,'Hoist 4'!$C:$C)</f>
        <v>0</v>
      </c>
      <c r="HG33" s="38">
        <f>SUMIF('Hoist 4'!$B:$B,Lists!$A$37,'Hoist 4'!$E:$E)</f>
        <v>0</v>
      </c>
      <c r="HH33" s="38">
        <f>SUMIF('Hoist 4'!$B:$B,Lists!$A$37,'Hoist 4'!$F:$F)</f>
        <v>0</v>
      </c>
      <c r="HI33" s="38">
        <f>SUMIF('Hoist 4'!$B:$B,Lists!$A$37,'Hoist 4'!$G:$G)</f>
        <v>0</v>
      </c>
      <c r="HJ33" s="38">
        <f>SUMIF('Hoist 4'!$B:$B,Lists!$A$37,'Hoist 4'!$H:$H)</f>
        <v>0</v>
      </c>
      <c r="HK33" s="38">
        <f>SUMIF('Hoist 4'!$B:$B,Lists!$A$37,'Hoist 4'!$I:$I)</f>
        <v>0</v>
      </c>
      <c r="HL33" s="38">
        <f>SUMIF('Hoist 4'!$B:$B,Lists!$A$38,'Hoist 4'!$C:$C)</f>
        <v>0</v>
      </c>
      <c r="HM33" s="38">
        <f>SUMIF('Hoist 4'!$B:$B,Lists!$A$38,'Hoist 4'!$E:$E)</f>
        <v>0</v>
      </c>
      <c r="HN33" s="38">
        <f>SUMIF('Hoist 4'!$B:$B,Lists!$A$38,'Hoist 4'!$F:$F)</f>
        <v>0</v>
      </c>
      <c r="HO33" s="38">
        <f>SUMIF('Hoist 4'!$B:$B,Lists!$A$38,'Hoist 4'!$G:$G)</f>
        <v>0</v>
      </c>
      <c r="HP33" s="38">
        <f>SUMIF('Hoist 4'!$B:$B,Lists!$A$38,'Hoist 4'!$H:$H)</f>
        <v>0</v>
      </c>
      <c r="HQ33" s="38">
        <f>SUMIF('Hoist 4'!$B:$B,Lists!$A$38,'Hoist 4'!$I:$I)</f>
        <v>0</v>
      </c>
      <c r="HR33" s="38">
        <f>SUMIF('Hoist 4'!$B:$B,Lists!$A$39,'Hoist 4'!$C:$C)</f>
        <v>0</v>
      </c>
      <c r="HS33" s="38">
        <f>SUMIF('Hoist 4'!$B:$B,Lists!$A$39,'Hoist 4'!$E:$E)</f>
        <v>0</v>
      </c>
      <c r="HT33" s="38">
        <f>SUMIF('Hoist 4'!$B:$B,Lists!$A$39,'Hoist 4'!$F:$F)</f>
        <v>0</v>
      </c>
      <c r="HU33" s="38">
        <f>SUMIF('Hoist 4'!$B:$B,Lists!$A$39,'Hoist 4'!$G:$G)</f>
        <v>0</v>
      </c>
      <c r="HV33" s="38">
        <f>SUMIF('Hoist 4'!$B:$B,Lists!$A$39,'Hoist 4'!$H:$H)</f>
        <v>0</v>
      </c>
      <c r="HW33" s="38">
        <f>SUMIF('Hoist 4'!$B:$B,Lists!$A$39,'Hoist 4'!$I:$I)</f>
        <v>0</v>
      </c>
      <c r="HX33" s="38">
        <f>SUMIF('Hoist 4'!$B:$B,Lists!$A$40,'Hoist 4'!$C:$C)</f>
        <v>0</v>
      </c>
      <c r="HY33" s="38">
        <f>SUMIF('Hoist 4'!$B:$B,Lists!$A$40,'Hoist 4'!$E:$E)</f>
        <v>0</v>
      </c>
      <c r="HZ33" s="38">
        <f>SUMIF('Hoist 4'!$B:$B,Lists!$A$40,'Hoist 4'!$F:$F)</f>
        <v>0</v>
      </c>
      <c r="IA33" s="38">
        <f>SUMIF('Hoist 4'!$B:$B,Lists!$A$40,'Hoist 4'!$G:$G)</f>
        <v>0</v>
      </c>
      <c r="IB33" s="38">
        <f>SUMIF('Hoist 4'!$B:$B,Lists!$A$40,'Hoist 4'!$H:$H)</f>
        <v>0</v>
      </c>
      <c r="IC33" s="38">
        <f>SUMIF('Hoist 4'!$B:$B,Lists!$A$40,'Hoist 4'!$I:$I)</f>
        <v>0</v>
      </c>
      <c r="ID33" s="38">
        <f>SUMIF('Hoist 4'!$B:$B,Lists!$A$41,'Hoist 4'!$C:$C)</f>
        <v>0</v>
      </c>
      <c r="IE33" s="38">
        <f>SUMIF('Hoist 4'!$B:$B,Lists!$A$41,'Hoist 4'!$E:$E)</f>
        <v>0</v>
      </c>
      <c r="IF33" s="38">
        <f>SUMIF('Hoist 4'!$B:$B,Lists!$A$41,'Hoist 4'!$F:$F)</f>
        <v>0</v>
      </c>
      <c r="IG33" s="38">
        <f>SUMIF('Hoist 4'!$B:$B,Lists!$A$41,'Hoist 4'!$G:$G)</f>
        <v>0</v>
      </c>
      <c r="IH33" s="38">
        <f>SUMIF('Hoist 4'!$B:$B,Lists!$A$41,'Hoist 4'!$H:$H)</f>
        <v>0</v>
      </c>
      <c r="II33" s="38">
        <f>SUMIF('Hoist 4'!$B:$B,Lists!$A$41,'Hoist 4'!$I:$I)</f>
        <v>0</v>
      </c>
    </row>
    <row r="34" spans="1:243" ht="19.5" customHeight="1" x14ac:dyDescent="0.3">
      <c r="A34" s="31" t="s">
        <v>105</v>
      </c>
      <c r="B34" s="32">
        <f>'Hoist 5'!D2</f>
        <v>46161</v>
      </c>
      <c r="C34" s="33" t="s">
        <v>77</v>
      </c>
      <c r="D34" s="34">
        <f>SUMIF('Hoist 5'!$B:$B,Lists!$A$2,'Hoist 5'!$C:$C)</f>
        <v>0</v>
      </c>
      <c r="E34" s="34">
        <f>SUMIF('Hoist 5'!$B:$B,Lists!$A$2,'Hoist 5'!$E:$E)</f>
        <v>300</v>
      </c>
      <c r="F34" s="34">
        <f>SUMIF('Hoist 5'!$B:$B,Lists!$A$2,'Hoist 5'!$F:$F)</f>
        <v>0</v>
      </c>
      <c r="G34" s="34">
        <f>SUMIF('Hoist 5'!$B:$B,Lists!$A$2,'Hoist 5'!$G:$G)</f>
        <v>0</v>
      </c>
      <c r="H34" s="34">
        <f>SUMIF('Hoist 5'!$B:$B,Lists!$A$2,'Hoist 5'!$H:$H)</f>
        <v>0</v>
      </c>
      <c r="I34" s="34">
        <f>SUMIF('Hoist 5'!$B:$B,Lists!$A$2,'Hoist 5'!$I:$I)</f>
        <v>0</v>
      </c>
      <c r="J34" s="34">
        <f>SUMIF('Hoist 5'!$B:$B,Lists!$A$3,'Hoist 5'!$C:$C)</f>
        <v>0</v>
      </c>
      <c r="K34" s="34">
        <f>SUMIF('Hoist 5'!$B:$B,Lists!$A$3,'Hoist 5'!$E:$E)</f>
        <v>0</v>
      </c>
      <c r="L34" s="34">
        <f>SUMIF('Hoist 5'!$B:$B,Lists!$A$3,'Hoist 5'!$F:$F)</f>
        <v>0</v>
      </c>
      <c r="M34" s="34">
        <f>SUMIF('Hoist 5'!$B:$B,Lists!$A$3,'Hoist 5'!$G:$G)</f>
        <v>0</v>
      </c>
      <c r="N34" s="34">
        <f>SUMIF('Hoist 5'!$B:$B,Lists!$A$3,'Hoist 5'!$H:$H)</f>
        <v>0</v>
      </c>
      <c r="O34" s="34">
        <f>SUMIF('Hoist 5'!$B:$B,Lists!$A$3,'Hoist 5'!$I:$I)</f>
        <v>0</v>
      </c>
      <c r="P34" s="34">
        <f>SUMIF('Hoist 5'!$B:$B,Lists!$A$4,'Hoist 5'!$C:$C)</f>
        <v>0</v>
      </c>
      <c r="Q34" s="34">
        <f>SUMIF('Hoist 5'!$B:$B,Lists!$A$4,'Hoist 5'!$E:$E)</f>
        <v>0</v>
      </c>
      <c r="R34" s="34">
        <f>SUMIF('Hoist 5'!$B:$B,Lists!$A$4,'Hoist 5'!$F:$F)</f>
        <v>0</v>
      </c>
      <c r="S34" s="34">
        <f>SUMIF('Hoist 5'!$B:$B,Lists!$A$4,'Hoist 5'!$G:$G)</f>
        <v>0</v>
      </c>
      <c r="T34" s="34">
        <f>SUMIF('Hoist 5'!$B:$B,Lists!$A$4,'Hoist 5'!$H:$H)</f>
        <v>0</v>
      </c>
      <c r="U34" s="34">
        <f>SUMIF('Hoist 5'!$B:$B,Lists!$A$4,'Hoist 5'!$I:$I)</f>
        <v>0</v>
      </c>
      <c r="V34" s="34">
        <f>SUMIF('Hoist 5'!$B:$B,Lists!$A$5,'Hoist 5'!$C:$C)</f>
        <v>0</v>
      </c>
      <c r="W34" s="34">
        <f>SUMIF('Hoist 5'!$B:$B,Lists!$A$5,'Hoist 5'!$E:$E)</f>
        <v>0</v>
      </c>
      <c r="X34" s="34">
        <f>SUMIF('Hoist 5'!$B:$B,Lists!$A$5,'Hoist 5'!$F:$F)</f>
        <v>0</v>
      </c>
      <c r="Y34" s="34">
        <f>SUMIF('Hoist 5'!$B:$B,Lists!$A$5,'Hoist 5'!$G:$G)</f>
        <v>0</v>
      </c>
      <c r="Z34" s="34">
        <f>SUMIF('Hoist 5'!$B:$B,Lists!$A$5,'Hoist 5'!$H:$H)</f>
        <v>0</v>
      </c>
      <c r="AA34" s="34">
        <f>SUMIF('Hoist 5'!$B:$B,Lists!$A$5,'Hoist 5'!$I:$I)</f>
        <v>0</v>
      </c>
      <c r="AB34" s="34">
        <f>SUMIF('Hoist 5'!$B:$B,Lists!$A$6,'Hoist 5'!$C:$C)</f>
        <v>0</v>
      </c>
      <c r="AC34" s="34">
        <f>SUMIF('Hoist 5'!$B:$B,Lists!$A$6,'Hoist 5'!$E:$E)</f>
        <v>0</v>
      </c>
      <c r="AD34" s="34">
        <f>SUMIF('Hoist 5'!$B:$B,Lists!$A$6,'Hoist 5'!$F:$F)</f>
        <v>0</v>
      </c>
      <c r="AE34" s="34">
        <f>SUMIF('Hoist 5'!$B:$B,Lists!$A$6,'Hoist 5'!$G:$G)</f>
        <v>0</v>
      </c>
      <c r="AF34" s="34">
        <f>SUMIF('Hoist 5'!$B:$B,Lists!$A$6,'Hoist 5'!$H:$H)</f>
        <v>0</v>
      </c>
      <c r="AG34" s="34">
        <f>SUMIF('Hoist 5'!$B:$B,Lists!$A$6,'Hoist 5'!$I:$I)</f>
        <v>0</v>
      </c>
      <c r="AH34" s="34">
        <f>SUMIF('Hoist 5'!$B:$B,Lists!$A$7,'Hoist 5'!$C:$C)</f>
        <v>0</v>
      </c>
      <c r="AI34" s="34">
        <f>SUMIF('Hoist 5'!$B:$B,Lists!$A$7,'Hoist 5'!$E:$E)</f>
        <v>0</v>
      </c>
      <c r="AJ34" s="34">
        <f>SUMIF('Hoist 5'!$B:$B,Lists!$A$7,'Hoist 5'!$F:$F)</f>
        <v>0</v>
      </c>
      <c r="AK34" s="34">
        <f>SUMIF('Hoist 5'!$B:$B,Lists!$A$7,'Hoist 5'!$G:$G)</f>
        <v>0</v>
      </c>
      <c r="AL34" s="34">
        <f>SUMIF('Hoist 5'!$B:$B,Lists!$A$7,'Hoist 5'!$H:$H)</f>
        <v>0</v>
      </c>
      <c r="AM34" s="34">
        <f>SUMIF('Hoist 5'!$B:$B,Lists!$A$7,'Hoist 5'!$I:$I)</f>
        <v>0</v>
      </c>
      <c r="AN34" s="34">
        <f>SUMIF('Hoist 5'!$B:$B,Lists!$A$8,'Hoist 5'!$C:$C)</f>
        <v>0</v>
      </c>
      <c r="AO34" s="34">
        <f>SUMIF('Hoist 5'!$B:$B,Lists!$A$8,'Hoist 5'!$E:$E)</f>
        <v>0</v>
      </c>
      <c r="AP34" s="34">
        <f>SUMIF('Hoist 5'!$B:$B,Lists!$A$8,'Hoist 5'!$F:$F)</f>
        <v>0</v>
      </c>
      <c r="AQ34" s="34">
        <f>SUMIF('Hoist 5'!$B:$B,Lists!$A$8,'Hoist 5'!$G:$G)</f>
        <v>0</v>
      </c>
      <c r="AR34" s="34">
        <f>SUMIF('Hoist 5'!$B:$B,Lists!$A$8,'Hoist 5'!$H:$H)</f>
        <v>0</v>
      </c>
      <c r="AS34" s="34">
        <f>SUMIF('Hoist 5'!$B:$B,Lists!$A$8,'Hoist 5'!$I:$I)</f>
        <v>0</v>
      </c>
      <c r="AT34" s="34">
        <f>SUMIF('Hoist 5'!$B:$B,Lists!$A$9,'Hoist 5'!$C:$C)</f>
        <v>0</v>
      </c>
      <c r="AU34" s="34">
        <f>SUMIF('Hoist 5'!$B:$B,Lists!$A$9,'Hoist 5'!$E:$E)</f>
        <v>0</v>
      </c>
      <c r="AV34" s="34">
        <f>SUMIF('Hoist 5'!$B:$B,Lists!$A$9,'Hoist 5'!$F:$F)</f>
        <v>0</v>
      </c>
      <c r="AW34" s="34">
        <f>SUMIF('Hoist 5'!$B:$B,Lists!$A$9,'Hoist 5'!$G:$G)</f>
        <v>0</v>
      </c>
      <c r="AX34" s="34">
        <f>SUMIF('Hoist 5'!$B:$B,Lists!$A$9,'Hoist 5'!$H:$H)</f>
        <v>0</v>
      </c>
      <c r="AY34" s="34">
        <f>SUMIF('Hoist 5'!$B:$B,Lists!$A$9,'Hoist 5'!$I:$I)</f>
        <v>0</v>
      </c>
      <c r="AZ34" s="34">
        <f>SUMIF('Hoist 5'!$B:$B,Lists!$A$10,'Hoist 5'!$C:$C)</f>
        <v>0</v>
      </c>
      <c r="BA34" s="34">
        <f>SUMIF('Hoist 5'!$B:$B,Lists!$A$10,'Hoist 5'!$E:$E)</f>
        <v>0</v>
      </c>
      <c r="BB34" s="34">
        <f>SUMIF('Hoist 5'!$B:$B,Lists!$A$10,'Hoist 5'!$F:$F)</f>
        <v>0</v>
      </c>
      <c r="BC34" s="34">
        <f>SUMIF('Hoist 5'!$B:$B,Lists!$A$10,'Hoist 5'!$G:$G)</f>
        <v>0</v>
      </c>
      <c r="BD34" s="34">
        <f>SUMIF('Hoist 5'!$B:$B,Lists!$A$10,'Hoist 5'!$H:$H)</f>
        <v>0</v>
      </c>
      <c r="BE34" s="34">
        <f>SUMIF('Hoist 5'!$B:$B,Lists!$A$10,'Hoist 5'!$I:$I)</f>
        <v>0</v>
      </c>
      <c r="BF34" s="34">
        <f>SUMIF('Hoist 5'!$B:$B,Lists!$A$11,'Hoist 5'!$C:$C)</f>
        <v>0</v>
      </c>
      <c r="BG34" s="34">
        <f>SUMIF('Hoist 5'!$B:$B,Lists!$A$11,'Hoist 5'!$E:$E)</f>
        <v>0</v>
      </c>
      <c r="BH34" s="34">
        <f>SUMIF('Hoist 5'!$B:$B,Lists!$A$11,'Hoist 5'!$F:$F)</f>
        <v>0</v>
      </c>
      <c r="BI34" s="34">
        <f>SUMIF('Hoist 5'!$B:$B,Lists!$A$11,'Hoist 5'!$G:$G)</f>
        <v>0</v>
      </c>
      <c r="BJ34" s="34">
        <f>SUMIF('Hoist 5'!$B:$B,Lists!$A$11,'Hoist 5'!$H:$H)</f>
        <v>0</v>
      </c>
      <c r="BK34" s="34">
        <f>SUMIF('Hoist 5'!$B:$B,Lists!$A$11,'Hoist 5'!$I:$I)</f>
        <v>0</v>
      </c>
      <c r="BL34" s="34">
        <f>SUMIF('Hoist 5'!$B:$B,Lists!$A$12,'Hoist 5'!$C:$C)</f>
        <v>0</v>
      </c>
      <c r="BM34" s="34">
        <f>SUMIF('Hoist 5'!$B:$B,Lists!$A$12,'Hoist 5'!$E:$E)</f>
        <v>0</v>
      </c>
      <c r="BN34" s="34">
        <f>SUMIF('Hoist 5'!$B:$B,Lists!$A$12,'Hoist 5'!$F:$F)</f>
        <v>0</v>
      </c>
      <c r="BO34" s="34">
        <f>SUMIF('Hoist 5'!$B:$B,Lists!$A$12,'Hoist 5'!$G:$G)</f>
        <v>0</v>
      </c>
      <c r="BP34" s="34">
        <f>SUMIF('Hoist 5'!$B:$B,Lists!$A$12,'Hoist 5'!$H:$H)</f>
        <v>0</v>
      </c>
      <c r="BQ34" s="34">
        <f>SUMIF('Hoist 5'!$B:$B,Lists!$A$12,'Hoist 5'!$I:$I)</f>
        <v>0</v>
      </c>
      <c r="BR34" s="34">
        <f>SUMIF('Hoist 5'!$B:$B,Lists!$A$13,'Hoist 5'!$C:$C)</f>
        <v>0</v>
      </c>
      <c r="BS34" s="34">
        <f>SUMIF('Hoist 5'!$B:$B,Lists!$A$13,'Hoist 5'!$E:$E)</f>
        <v>0</v>
      </c>
      <c r="BT34" s="34">
        <f>SUMIF('Hoist 5'!$B:$B,Lists!$A$13,'Hoist 5'!$F:$F)</f>
        <v>0</v>
      </c>
      <c r="BU34" s="34">
        <f>SUMIF('Hoist 5'!$B:$B,Lists!$A$13,'Hoist 5'!$G:$G)</f>
        <v>0</v>
      </c>
      <c r="BV34" s="34">
        <f>SUMIF('Hoist 5'!$B:$B,Lists!$A$13,'Hoist 5'!$H:$H)</f>
        <v>0</v>
      </c>
      <c r="BW34" s="34">
        <f>SUMIF('Hoist 5'!$B:$B,Lists!$A$13,'Hoist 5'!$I:$I)</f>
        <v>0</v>
      </c>
      <c r="BX34" s="34">
        <f>SUMIF('Hoist 5'!$B:$B,Lists!$A$14,'Hoist 5'!$C:$C)</f>
        <v>0</v>
      </c>
      <c r="BY34" s="34">
        <f>SUMIF('Hoist 5'!$B:$B,Lists!$A$14,'Hoist 5'!$E:$E)</f>
        <v>0</v>
      </c>
      <c r="BZ34" s="34">
        <f>SUMIF('Hoist 5'!$B:$B,Lists!$A$14,'Hoist 5'!$F:$F)</f>
        <v>0</v>
      </c>
      <c r="CA34" s="34">
        <f>SUMIF('Hoist 5'!$B:$B,Lists!$A$14,'Hoist 5'!$G:$G)</f>
        <v>0</v>
      </c>
      <c r="CB34" s="34">
        <f>SUMIF('Hoist 5'!$B:$B,Lists!$A$14,'Hoist 5'!$H:$H)</f>
        <v>0</v>
      </c>
      <c r="CC34" s="34">
        <f>SUMIF('Hoist 5'!$B:$B,Lists!$A$14,'Hoist 5'!$I:$I)</f>
        <v>0</v>
      </c>
      <c r="CD34" s="34">
        <f>SUMIF('Hoist 5'!$B:$B,Lists!$A$15,'Hoist 5'!$C:$C)</f>
        <v>0</v>
      </c>
      <c r="CE34" s="34">
        <f>SUMIF('Hoist 5'!$B:$B,Lists!$A$15,'Hoist 5'!$E:$E)</f>
        <v>0</v>
      </c>
      <c r="CF34" s="34">
        <f>SUMIF('Hoist 5'!$B:$B,Lists!$A$15,'Hoist 5'!$F:$F)</f>
        <v>0</v>
      </c>
      <c r="CG34" s="34">
        <f>SUMIF('Hoist 5'!$B:$B,Lists!$A$15,'Hoist 5'!$G:$G)</f>
        <v>0</v>
      </c>
      <c r="CH34" s="34">
        <f>SUMIF('Hoist 5'!$B:$B,Lists!$A$15,'Hoist 5'!$H:$H)</f>
        <v>0</v>
      </c>
      <c r="CI34" s="34">
        <f>SUMIF('Hoist 5'!$B:$B,Lists!$A$15,'Hoist 5'!$I:$I)</f>
        <v>0</v>
      </c>
      <c r="CJ34" s="34">
        <f>SUMIF('Hoist 5'!$B:$B,Lists!$A$16,'Hoist 5'!$C:$C)</f>
        <v>0</v>
      </c>
      <c r="CK34" s="34">
        <f>SUMIF('Hoist 5'!$B:$B,Lists!$A$16,'Hoist 5'!$E:$E)</f>
        <v>20</v>
      </c>
      <c r="CL34" s="34">
        <f>SUMIF('Hoist 5'!$B:$B,Lists!$A$16,'Hoist 5'!$F:$F)</f>
        <v>0</v>
      </c>
      <c r="CM34" s="34">
        <f>SUMIF('Hoist 5'!$B:$B,Lists!$A$16,'Hoist 5'!$G:$G)</f>
        <v>0</v>
      </c>
      <c r="CN34" s="34">
        <f>SUMIF('Hoist 5'!$B:$B,Lists!$A$16,'Hoist 5'!$H:$H)</f>
        <v>0</v>
      </c>
      <c r="CO34" s="34">
        <f>SUMIF('Hoist 5'!$B:$B,Lists!$A$16,'Hoist 5'!$I:$I)</f>
        <v>0</v>
      </c>
      <c r="CP34" s="34">
        <f>SUMIF('Hoist 5'!$B:$B,Lists!$A$17,'Hoist 5'!$C:$C)</f>
        <v>0</v>
      </c>
      <c r="CQ34" s="34">
        <f>SUMIF('Hoist 5'!$B:$B,Lists!$A$17,'Hoist 5'!$E:$E)</f>
        <v>0</v>
      </c>
      <c r="CR34" s="34">
        <f>SUMIF('Hoist 5'!$B:$B,Lists!$A$17,'Hoist 5'!$F:$F)</f>
        <v>0</v>
      </c>
      <c r="CS34" s="34">
        <f>SUMIF('Hoist 5'!$B:$B,Lists!$A$17,'Hoist 5'!$G:$G)</f>
        <v>0</v>
      </c>
      <c r="CT34" s="34">
        <f>SUMIF('Hoist 5'!$B:$B,Lists!$A$17,'Hoist 5'!$H:$H)</f>
        <v>0</v>
      </c>
      <c r="CU34" s="34">
        <f>SUMIF('Hoist 5'!$B:$B,Lists!$A$17,'Hoist 5'!$I:$I)</f>
        <v>0</v>
      </c>
      <c r="CV34" s="34">
        <f>SUMIF('Hoist 5'!$B:$B,Lists!$A$18,'Hoist 5'!$C:$C)</f>
        <v>0</v>
      </c>
      <c r="CW34" s="34">
        <f>SUMIF('Hoist 5'!$B:$B,Lists!$A$18,'Hoist 5'!$E:$E)</f>
        <v>0</v>
      </c>
      <c r="CX34" s="34">
        <f>SUMIF('Hoist 5'!$B:$B,Lists!$A$18,'Hoist 5'!$F:$F)</f>
        <v>0</v>
      </c>
      <c r="CY34" s="34">
        <f>SUMIF('Hoist 5'!$B:$B,Lists!$A$18,'Hoist 5'!$G:$G)</f>
        <v>0</v>
      </c>
      <c r="CZ34" s="34">
        <f>SUMIF('Hoist 5'!$B:$B,Lists!$A$18,'Hoist 5'!$H:$H)</f>
        <v>0</v>
      </c>
      <c r="DA34" s="34">
        <f>SUMIF('Hoist 5'!$B:$B,Lists!$A$18,'Hoist 5'!$I:$I)</f>
        <v>0</v>
      </c>
      <c r="DB34" s="34">
        <f>SUMIF('Hoist 5'!$B:$B,Lists!$A$19,'Hoist 5'!$C:$C)</f>
        <v>0</v>
      </c>
      <c r="DC34" s="34">
        <f>SUMIF('Hoist 5'!$B:$B,Lists!$A$19,'Hoist 5'!$E:$E)</f>
        <v>0</v>
      </c>
      <c r="DD34" s="34">
        <f>SUMIF('Hoist 5'!$B:$B,Lists!$A$19,'Hoist 5'!$F:$F)</f>
        <v>0</v>
      </c>
      <c r="DE34" s="34">
        <f>SUMIF('Hoist 5'!$B:$B,Lists!$A$19,'Hoist 5'!$G:$G)</f>
        <v>0</v>
      </c>
      <c r="DF34" s="34">
        <f>SUMIF('Hoist 5'!$B:$B,Lists!$A$19,'Hoist 5'!$H:$H)</f>
        <v>0</v>
      </c>
      <c r="DG34" s="34">
        <f>SUMIF('Hoist 5'!$B:$B,Lists!$A$19,'Hoist 5'!$I:$I)</f>
        <v>0</v>
      </c>
      <c r="DH34" s="34">
        <f>SUMIF('Hoist 5'!$B:$B,Lists!$A$20,'Hoist 5'!$C:$C)</f>
        <v>0</v>
      </c>
      <c r="DI34" s="34">
        <f>SUMIF('Hoist 5'!$B:$B,Lists!$A$20,'Hoist 5'!$E:$E)</f>
        <v>0</v>
      </c>
      <c r="DJ34" s="34">
        <f>SUMIF('Hoist 5'!$B:$B,Lists!$A$20,'Hoist 5'!$F:$F)</f>
        <v>0</v>
      </c>
      <c r="DK34" s="34">
        <f>SUMIF('Hoist 5'!$B:$B,Lists!$A$20,'Hoist 5'!$G:$G)</f>
        <v>0</v>
      </c>
      <c r="DL34" s="34">
        <f>SUMIF('Hoist 5'!$B:$B,Lists!$A$20,'Hoist 5'!$H:$H)</f>
        <v>0</v>
      </c>
      <c r="DM34" s="34">
        <f>SUMIF('Hoist 5'!$B:$B,Lists!$A$20,'Hoist 5'!$I:$I)</f>
        <v>0</v>
      </c>
      <c r="DN34" s="34">
        <f>SUMIF('Hoist 5'!$B:$B,Lists!$A$21,'Hoist 5'!$C:$C)</f>
        <v>0</v>
      </c>
      <c r="DO34" s="34">
        <f>SUMIF('Hoist 5'!$B:$B,Lists!$A$21,'Hoist 5'!$E:$E)</f>
        <v>0</v>
      </c>
      <c r="DP34" s="34">
        <f>SUMIF('Hoist 5'!$B:$B,Lists!$A$21,'Hoist 5'!$F:$F)</f>
        <v>0</v>
      </c>
      <c r="DQ34" s="34">
        <f>SUMIF('Hoist 5'!$B:$B,Lists!$A$21,'Hoist 5'!$G:$G)</f>
        <v>0</v>
      </c>
      <c r="DR34" s="34">
        <f>SUMIF('Hoist 5'!$B:$B,Lists!$A$21,'Hoist 5'!$H:$H)</f>
        <v>0</v>
      </c>
      <c r="DS34" s="34">
        <f>SUMIF('Hoist 5'!$B:$B,Lists!$A$21,'Hoist 5'!$I:$I)</f>
        <v>0</v>
      </c>
      <c r="DT34" s="34">
        <f>SUMIF('Hoist 5'!$B:$B,Lists!$A$22,'Hoist 5'!$C:$C)</f>
        <v>0</v>
      </c>
      <c r="DU34" s="34">
        <f>SUMIF('Hoist 5'!$B:$B,Lists!$A$22,'Hoist 5'!$E:$E)</f>
        <v>0</v>
      </c>
      <c r="DV34" s="34">
        <f>SUMIF('Hoist 5'!$B:$B,Lists!$A$22,'Hoist 5'!$F:$F)</f>
        <v>0</v>
      </c>
      <c r="DW34" s="34">
        <f>SUMIF('Hoist 5'!$B:$B,Lists!$A$22,'Hoist 5'!$G:$G)</f>
        <v>0</v>
      </c>
      <c r="DX34" s="34">
        <f>SUMIF('Hoist 5'!$B:$B,Lists!$A$22,'Hoist 5'!$H:$H)</f>
        <v>0</v>
      </c>
      <c r="DY34" s="34">
        <f>SUMIF('Hoist 5'!$B:$B,Lists!$A$22,'Hoist 5'!$I:$I)</f>
        <v>0</v>
      </c>
      <c r="DZ34" s="34">
        <f>SUMIF('Hoist 5'!$B:$B,Lists!$A$23,'Hoist 5'!$C:$C)</f>
        <v>0</v>
      </c>
      <c r="EA34" s="34">
        <f>SUMIF('Hoist 5'!$B:$B,Lists!$A$23,'Hoist 5'!$E:$E)</f>
        <v>0</v>
      </c>
      <c r="EB34" s="34">
        <f>SUMIF('Hoist 5'!$B:$B,Lists!$A$23,'Hoist 5'!$F:$F)</f>
        <v>0</v>
      </c>
      <c r="EC34" s="34">
        <f>SUMIF('Hoist 5'!$B:$B,Lists!$A$23,'Hoist 5'!$G:$G)</f>
        <v>0</v>
      </c>
      <c r="ED34" s="34">
        <f>SUMIF('Hoist 5'!$B:$B,Lists!$A$23,'Hoist 5'!$H:$H)</f>
        <v>0</v>
      </c>
      <c r="EE34" s="34">
        <f>SUMIF('Hoist 5'!$B:$B,Lists!$A$23,'Hoist 5'!$I:$I)</f>
        <v>0</v>
      </c>
      <c r="EF34" s="34">
        <f>SUMIF('Hoist 5'!$B:$B,Lists!$A$24,'Hoist 5'!$C:$C)</f>
        <v>0</v>
      </c>
      <c r="EG34" s="34">
        <f>SUMIF('Hoist 5'!$B:$B,Lists!$A$24,'Hoist 5'!$E:$E)</f>
        <v>0</v>
      </c>
      <c r="EH34" s="34">
        <f>SUMIF('Hoist 5'!$B:$B,Lists!$A$24,'Hoist 5'!$F:$F)</f>
        <v>0</v>
      </c>
      <c r="EI34" s="34">
        <f>SUMIF('Hoist 5'!$B:$B,Lists!$A$24,'Hoist 5'!$G:$G)</f>
        <v>0</v>
      </c>
      <c r="EJ34" s="34">
        <f>SUMIF('Hoist 5'!$B:$B,Lists!$A$24,'Hoist 5'!$H:$H)</f>
        <v>0</v>
      </c>
      <c r="EK34" s="34">
        <f>SUMIF('Hoist 5'!$B:$B,Lists!$A$24,'Hoist 5'!$I:$I)</f>
        <v>0</v>
      </c>
      <c r="EL34" s="34">
        <f>SUMIF('Hoist 5'!$B:$B,Lists!$A$25,'Hoist 5'!$C:$C)</f>
        <v>0</v>
      </c>
      <c r="EM34" s="34">
        <f>SUMIF('Hoist 5'!$B:$B,Lists!$A$25,'Hoist 5'!$E:$E)</f>
        <v>0</v>
      </c>
      <c r="EN34" s="34">
        <f>SUMIF('Hoist 5'!$B:$B,Lists!$A$25,'Hoist 5'!$F:$F)</f>
        <v>0</v>
      </c>
      <c r="EO34" s="34">
        <f>SUMIF('Hoist 5'!$B:$B,Lists!$A$25,'Hoist 5'!$G:$G)</f>
        <v>0</v>
      </c>
      <c r="EP34" s="34">
        <f>SUMIF('Hoist 5'!$B:$B,Lists!$A$25,'Hoist 5'!$H:$H)</f>
        <v>0</v>
      </c>
      <c r="EQ34" s="34">
        <f>SUMIF('Hoist 5'!$B:$B,Lists!$A$25,'Hoist 5'!$I:$I)</f>
        <v>0</v>
      </c>
      <c r="ER34" s="34">
        <f>SUMIF('Hoist 5'!$B:$B,Lists!$A$26,'Hoist 5'!$C:$C)</f>
        <v>0</v>
      </c>
      <c r="ES34" s="34">
        <f>SUMIF('Hoist 5'!$B:$B,Lists!$A$26,'Hoist 5'!$E:$E)</f>
        <v>0</v>
      </c>
      <c r="ET34" s="34">
        <f>SUMIF('Hoist 5'!$B:$B,Lists!$A$26,'Hoist 5'!$F:$F)</f>
        <v>0</v>
      </c>
      <c r="EU34" s="34">
        <f>SUMIF('Hoist 5'!$B:$B,Lists!$A$26,'Hoist 5'!$G:$G)</f>
        <v>0</v>
      </c>
      <c r="EV34" s="34">
        <f>SUMIF('Hoist 5'!$B:$B,Lists!$A$26,'Hoist 5'!$H:$H)</f>
        <v>0</v>
      </c>
      <c r="EW34" s="34">
        <f>SUMIF('Hoist 5'!$B:$B,Lists!$A$26,'Hoist 5'!$I:$I)</f>
        <v>0</v>
      </c>
      <c r="EX34" s="34">
        <f>SUMIF('Hoist 5'!$B:$B,Lists!$A$27,'Hoist 5'!$C:$C)</f>
        <v>0</v>
      </c>
      <c r="EY34" s="34">
        <f>SUMIF('Hoist 5'!$B:$B,Lists!$A$27,'Hoist 5'!$E:$E)</f>
        <v>0</v>
      </c>
      <c r="EZ34" s="34">
        <f>SUMIF('Hoist 5'!$B:$B,Lists!$A$27,'Hoist 5'!$F:$F)</f>
        <v>0</v>
      </c>
      <c r="FA34" s="34">
        <f>SUMIF('Hoist 5'!$B:$B,Lists!$A$27,'Hoist 5'!$G:$G)</f>
        <v>0</v>
      </c>
      <c r="FB34" s="34">
        <f>SUMIF('Hoist 5'!$B:$B,Lists!$A$27,'Hoist 5'!$H:$H)</f>
        <v>0</v>
      </c>
      <c r="FC34" s="34">
        <f>SUMIF('Hoist 5'!$B:$B,Lists!$A$27,'Hoist 5'!$I:$I)</f>
        <v>0</v>
      </c>
      <c r="FD34" s="34">
        <f>SUMIF('Hoist 5'!$B:$B,Lists!$A$28,'Hoist 5'!$C:$C)</f>
        <v>0</v>
      </c>
      <c r="FE34" s="34">
        <f>SUMIF('Hoist 5'!$B:$B,Lists!$A$28,'Hoist 5'!$E:$E)</f>
        <v>0</v>
      </c>
      <c r="FF34" s="34">
        <f>SUMIF('Hoist 5'!$B:$B,Lists!$A$28,'Hoist 5'!$F:$F)</f>
        <v>0</v>
      </c>
      <c r="FG34" s="34">
        <f>SUMIF('Hoist 5'!$B:$B,Lists!$A$28,'Hoist 5'!$G:$G)</f>
        <v>0</v>
      </c>
      <c r="FH34" s="34">
        <f>SUMIF('Hoist 5'!$B:$B,Lists!$A$28,'Hoist 5'!$H:$H)</f>
        <v>0</v>
      </c>
      <c r="FI34" s="34">
        <f>SUMIF('Hoist 5'!$B:$B,Lists!$A$28,'Hoist 5'!$I:$I)</f>
        <v>0</v>
      </c>
      <c r="FJ34" s="34">
        <f>SUMIF('Hoist 5'!$B:$B,Lists!$A$29,'Hoist 5'!$C:$C)</f>
        <v>0</v>
      </c>
      <c r="FK34" s="34">
        <f>SUMIF('Hoist 5'!$B:$B,Lists!$A$29,'Hoist 5'!$E:$E)</f>
        <v>10</v>
      </c>
      <c r="FL34" s="34">
        <f>SUMIF('Hoist 5'!$B:$B,Lists!$A$29,'Hoist 5'!$F:$F)</f>
        <v>0</v>
      </c>
      <c r="FM34" s="34">
        <f>SUMIF('Hoist 5'!$B:$B,Lists!$A$29,'Hoist 5'!$G:$G)</f>
        <v>0</v>
      </c>
      <c r="FN34" s="34">
        <f>SUMIF('Hoist 5'!$B:$B,Lists!$A$29,'Hoist 5'!$H:$H)</f>
        <v>0</v>
      </c>
      <c r="FO34" s="34">
        <f>SUMIF('Hoist 5'!$B:$B,Lists!$A$29,'Hoist 5'!$I:$I)</f>
        <v>0</v>
      </c>
      <c r="FP34" s="34">
        <f>SUMIF('Hoist 5'!$B:$B,Lists!$A$30,'Hoist 5'!$C:$C)</f>
        <v>0</v>
      </c>
      <c r="FQ34" s="34">
        <f>SUMIF('Hoist 5'!$B:$B,Lists!$A$30,'Hoist 5'!$E:$E)</f>
        <v>0</v>
      </c>
      <c r="FR34" s="34">
        <f>SUMIF('Hoist 5'!$B:$B,Lists!$A$30,'Hoist 5'!$F:$F)</f>
        <v>0</v>
      </c>
      <c r="FS34" s="34">
        <f>SUMIF('Hoist 5'!$B:$B,Lists!$A$30,'Hoist 5'!$G:$G)</f>
        <v>0</v>
      </c>
      <c r="FT34" s="34">
        <f>SUMIF('Hoist 5'!$B:$B,Lists!$A$30,'Hoist 5'!$H:$H)</f>
        <v>0</v>
      </c>
      <c r="FU34" s="34">
        <f>SUMIF('Hoist 5'!$B:$B,Lists!$A$30,'Hoist 5'!$I:$I)</f>
        <v>0</v>
      </c>
      <c r="FV34" s="34">
        <f>SUMIF('Hoist 5'!$B:$B,Lists!$A$31,'Hoist 5'!$C:$C)</f>
        <v>0</v>
      </c>
      <c r="FW34" s="34">
        <f>SUMIF('Hoist 5'!$B:$B,Lists!$A$31,'Hoist 5'!$E:$E)</f>
        <v>0</v>
      </c>
      <c r="FX34" s="34">
        <f>SUMIF('Hoist 5'!$B:$B,Lists!$A$31,'Hoist 5'!$F:$F)</f>
        <v>0</v>
      </c>
      <c r="FY34" s="34">
        <f>SUMIF('Hoist 5'!$B:$B,Lists!$A$31,'Hoist 5'!$G:$G)</f>
        <v>0</v>
      </c>
      <c r="FZ34" s="34">
        <f>SUMIF('Hoist 5'!$B:$B,Lists!$A$31,'Hoist 5'!$H:$H)</f>
        <v>0</v>
      </c>
      <c r="GA34" s="34">
        <f>SUMIF('Hoist 5'!$B:$B,Lists!$A$31,'Hoist 5'!$I:$I)</f>
        <v>0</v>
      </c>
      <c r="GB34" s="34">
        <f>SUMIF('Hoist 5'!$B:$B,Lists!$A$32,'Hoist 5'!$C:$C)</f>
        <v>0</v>
      </c>
      <c r="GC34" s="34">
        <f>SUMIF('Hoist 5'!$B:$B,Lists!$A$32,'Hoist 5'!$E:$E)</f>
        <v>0</v>
      </c>
      <c r="GD34" s="34">
        <f>SUMIF('Hoist 5'!$B:$B,Lists!$A$32,'Hoist 5'!$F:$F)</f>
        <v>0</v>
      </c>
      <c r="GE34" s="34">
        <f>SUMIF('Hoist 5'!$B:$B,Lists!$A$32,'Hoist 5'!$G:$G)</f>
        <v>0</v>
      </c>
      <c r="GF34" s="34">
        <f>SUMIF('Hoist 5'!$B:$B,Lists!$A$32,'Hoist 5'!$H:$H)</f>
        <v>0</v>
      </c>
      <c r="GG34" s="34">
        <f>SUMIF('Hoist 5'!$B:$B,Lists!$A$32,'Hoist 5'!$I:$I)</f>
        <v>0</v>
      </c>
      <c r="GH34" s="34">
        <f>SUMIF('Hoist 5'!$B:$B,Lists!$A$33,'Hoist 5'!$C:$C)</f>
        <v>0</v>
      </c>
      <c r="GI34" s="34">
        <f>SUMIF('Hoist 5'!$B:$B,Lists!$A$33,'Hoist 5'!$E:$E)</f>
        <v>0</v>
      </c>
      <c r="GJ34" s="34">
        <f>SUMIF('Hoist 5'!$B:$B,Lists!$A$33,'Hoist 5'!$F:$F)</f>
        <v>0</v>
      </c>
      <c r="GK34" s="34">
        <f>SUMIF('Hoist 5'!$B:$B,Lists!$A$33,'Hoist 5'!$G:$G)</f>
        <v>0</v>
      </c>
      <c r="GL34" s="34">
        <f>SUMIF('Hoist 5'!$B:$B,Lists!$A$33,'Hoist 5'!$H:$H)</f>
        <v>0</v>
      </c>
      <c r="GM34" s="34">
        <f>SUMIF('Hoist 5'!$B:$B,Lists!$A$33,'Hoist 5'!$I:$I)</f>
        <v>0</v>
      </c>
      <c r="GN34" s="34">
        <f>SUMIF('Hoist 5'!$B:$B,Lists!$A$34,'Hoist 5'!$C:$C)</f>
        <v>0</v>
      </c>
      <c r="GO34" s="34">
        <f>SUMIF('Hoist 5'!$B:$B,Lists!$A$34,'Hoist 5'!$E:$E)</f>
        <v>0</v>
      </c>
      <c r="GP34" s="34">
        <f>SUMIF('Hoist 5'!$B:$B,Lists!$A$34,'Hoist 5'!$F:$F)</f>
        <v>0</v>
      </c>
      <c r="GQ34" s="34">
        <f>SUMIF('Hoist 5'!$B:$B,Lists!$A$34,'Hoist 5'!$G:$G)</f>
        <v>0</v>
      </c>
      <c r="GR34" s="34">
        <f>SUMIF('Hoist 5'!$B:$B,Lists!$A$34,'Hoist 5'!$H:$H)</f>
        <v>0</v>
      </c>
      <c r="GS34" s="34">
        <f>SUMIF('Hoist 5'!$B:$B,Lists!$A$34,'Hoist 5'!$I:$I)</f>
        <v>0</v>
      </c>
      <c r="GT34" s="34">
        <f>SUMIF('Hoist 5'!$B:$B,Lists!$A$35,'Hoist 5'!$C:$C)</f>
        <v>0</v>
      </c>
      <c r="GU34" s="34">
        <f>SUMIF('Hoist 5'!$B:$B,Lists!$A$35,'Hoist 5'!$E:$E)</f>
        <v>0</v>
      </c>
      <c r="GV34" s="34">
        <f>SUMIF('Hoist 5'!$B:$B,Lists!$A$35,'Hoist 5'!$F:$F)</f>
        <v>0</v>
      </c>
      <c r="GW34" s="34">
        <f>SUMIF('Hoist 5'!$B:$B,Lists!$A$35,'Hoist 5'!$G:$G)</f>
        <v>0</v>
      </c>
      <c r="GX34" s="34">
        <f>SUMIF('Hoist 5'!$B:$B,Lists!$A$35,'Hoist 5'!$H:$H)</f>
        <v>0</v>
      </c>
      <c r="GY34" s="34">
        <f>SUMIF('Hoist 5'!$B:$B,Lists!$A$35,'Hoist 5'!$I:$I)</f>
        <v>0</v>
      </c>
      <c r="GZ34" s="34">
        <f>SUMIF('Hoist 5'!$B:$B,Lists!$A$36,'Hoist 5'!$C:$C)</f>
        <v>0</v>
      </c>
      <c r="HA34" s="34">
        <f>SUMIF('Hoist 5'!$B:$B,Lists!$A$36,'Hoist 5'!$E:$E)</f>
        <v>0</v>
      </c>
      <c r="HB34" s="34">
        <f>SUMIF('Hoist 5'!$B:$B,Lists!$A$36,'Hoist 5'!$F:$F)</f>
        <v>0</v>
      </c>
      <c r="HC34" s="34">
        <f>SUMIF('Hoist 5'!$B:$B,Lists!$A$36,'Hoist 5'!$G:$G)</f>
        <v>0</v>
      </c>
      <c r="HD34" s="34">
        <f>SUMIF('Hoist 5'!$B:$B,Lists!$A$36,'Hoist 5'!$H:$H)</f>
        <v>0</v>
      </c>
      <c r="HE34" s="34">
        <f>SUMIF('Hoist 5'!$B:$B,Lists!$A$36,'Hoist 5'!$I:$I)</f>
        <v>0</v>
      </c>
      <c r="HF34" s="34">
        <f>SUMIF('Hoist 5'!$B:$B,Lists!$A$37,'Hoist 5'!$C:$C)</f>
        <v>0</v>
      </c>
      <c r="HG34" s="34">
        <f>SUMIF('Hoist 5'!$B:$B,Lists!$A$37,'Hoist 5'!$E:$E)</f>
        <v>0</v>
      </c>
      <c r="HH34" s="34">
        <f>SUMIF('Hoist 5'!$B:$B,Lists!$A$37,'Hoist 5'!$F:$F)</f>
        <v>0</v>
      </c>
      <c r="HI34" s="34">
        <f>SUMIF('Hoist 5'!$B:$B,Lists!$A$37,'Hoist 5'!$G:$G)</f>
        <v>0</v>
      </c>
      <c r="HJ34" s="34">
        <f>SUMIF('Hoist 5'!$B:$B,Lists!$A$37,'Hoist 5'!$H:$H)</f>
        <v>0</v>
      </c>
      <c r="HK34" s="34">
        <f>SUMIF('Hoist 5'!$B:$B,Lists!$A$37,'Hoist 5'!$I:$I)</f>
        <v>0</v>
      </c>
      <c r="HL34" s="34">
        <f>SUMIF('Hoist 5'!$B:$B,Lists!$A$38,'Hoist 5'!$C:$C)</f>
        <v>0</v>
      </c>
      <c r="HM34" s="34">
        <f>SUMIF('Hoist 5'!$B:$B,Lists!$A$38,'Hoist 5'!$E:$E)</f>
        <v>0</v>
      </c>
      <c r="HN34" s="34">
        <f>SUMIF('Hoist 5'!$B:$B,Lists!$A$38,'Hoist 5'!$F:$F)</f>
        <v>0</v>
      </c>
      <c r="HO34" s="34">
        <f>SUMIF('Hoist 5'!$B:$B,Lists!$A$38,'Hoist 5'!$G:$G)</f>
        <v>0</v>
      </c>
      <c r="HP34" s="34">
        <f>SUMIF('Hoist 5'!$B:$B,Lists!$A$38,'Hoist 5'!$H:$H)</f>
        <v>0</v>
      </c>
      <c r="HQ34" s="34">
        <f>SUMIF('Hoist 5'!$B:$B,Lists!$A$38,'Hoist 5'!$I:$I)</f>
        <v>0</v>
      </c>
      <c r="HR34" s="34">
        <f>SUMIF('Hoist 5'!$B:$B,Lists!$A$39,'Hoist 5'!$C:$C)</f>
        <v>0</v>
      </c>
      <c r="HS34" s="34">
        <f>SUMIF('Hoist 5'!$B:$B,Lists!$A$39,'Hoist 5'!$E:$E)</f>
        <v>0</v>
      </c>
      <c r="HT34" s="34">
        <f>SUMIF('Hoist 5'!$B:$B,Lists!$A$39,'Hoist 5'!$F:$F)</f>
        <v>0</v>
      </c>
      <c r="HU34" s="34">
        <f>SUMIF('Hoist 5'!$B:$B,Lists!$A$39,'Hoist 5'!$G:$G)</f>
        <v>0</v>
      </c>
      <c r="HV34" s="34">
        <f>SUMIF('Hoist 5'!$B:$B,Lists!$A$39,'Hoist 5'!$H:$H)</f>
        <v>0</v>
      </c>
      <c r="HW34" s="34">
        <f>SUMIF('Hoist 5'!$B:$B,Lists!$A$39,'Hoist 5'!$I:$I)</f>
        <v>0</v>
      </c>
      <c r="HX34" s="34">
        <f>SUMIF('Hoist 5'!$B:$B,Lists!$A$40,'Hoist 5'!$C:$C)</f>
        <v>0</v>
      </c>
      <c r="HY34" s="34">
        <f>SUMIF('Hoist 5'!$B:$B,Lists!$A$40,'Hoist 5'!$E:$E)</f>
        <v>0</v>
      </c>
      <c r="HZ34" s="34">
        <f>SUMIF('Hoist 5'!$B:$B,Lists!$A$40,'Hoist 5'!$F:$F)</f>
        <v>0</v>
      </c>
      <c r="IA34" s="34">
        <f>SUMIF('Hoist 5'!$B:$B,Lists!$A$40,'Hoist 5'!$G:$G)</f>
        <v>0</v>
      </c>
      <c r="IB34" s="34">
        <f>SUMIF('Hoist 5'!$B:$B,Lists!$A$40,'Hoist 5'!$H:$H)</f>
        <v>0</v>
      </c>
      <c r="IC34" s="34">
        <f>SUMIF('Hoist 5'!$B:$B,Lists!$A$40,'Hoist 5'!$I:$I)</f>
        <v>0</v>
      </c>
      <c r="ID34" s="34">
        <f>SUMIF('Hoist 5'!$B:$B,Lists!$A$41,'Hoist 5'!$C:$C)</f>
        <v>0</v>
      </c>
      <c r="IE34" s="34">
        <f>SUMIF('Hoist 5'!$B:$B,Lists!$A$41,'Hoist 5'!$E:$E)</f>
        <v>0</v>
      </c>
      <c r="IF34" s="34">
        <f>SUMIF('Hoist 5'!$B:$B,Lists!$A$41,'Hoist 5'!$F:$F)</f>
        <v>0</v>
      </c>
      <c r="IG34" s="34">
        <f>SUMIF('Hoist 5'!$B:$B,Lists!$A$41,'Hoist 5'!$G:$G)</f>
        <v>0</v>
      </c>
      <c r="IH34" s="34">
        <f>SUMIF('Hoist 5'!$B:$B,Lists!$A$41,'Hoist 5'!$H:$H)</f>
        <v>0</v>
      </c>
      <c r="II34" s="34">
        <f>SUMIF('Hoist 5'!$B:$B,Lists!$A$41,'Hoist 5'!$I:$I)</f>
        <v>0</v>
      </c>
    </row>
    <row r="35" spans="1:243" ht="24" customHeight="1" x14ac:dyDescent="0.3">
      <c r="A35" s="39" t="s">
        <v>106</v>
      </c>
      <c r="B35" s="39"/>
      <c r="C35" s="39"/>
      <c r="D35" s="40">
        <f t="shared" ref="D35:BO35" si="0">SUM(D6:D34)</f>
        <v>468</v>
      </c>
      <c r="E35" s="40">
        <f t="shared" si="0"/>
        <v>779</v>
      </c>
      <c r="F35" s="40">
        <f t="shared" si="0"/>
        <v>0</v>
      </c>
      <c r="G35" s="40">
        <f t="shared" si="0"/>
        <v>0</v>
      </c>
      <c r="H35" s="40">
        <f t="shared" si="0"/>
        <v>0</v>
      </c>
      <c r="I35" s="40">
        <f t="shared" si="0"/>
        <v>0</v>
      </c>
      <c r="J35" s="40">
        <f t="shared" si="0"/>
        <v>338</v>
      </c>
      <c r="K35" s="40">
        <f t="shared" si="0"/>
        <v>347</v>
      </c>
      <c r="L35" s="40">
        <f t="shared" si="0"/>
        <v>0</v>
      </c>
      <c r="M35" s="40">
        <f t="shared" si="0"/>
        <v>0</v>
      </c>
      <c r="N35" s="40">
        <f t="shared" si="0"/>
        <v>0</v>
      </c>
      <c r="O35" s="40">
        <f t="shared" si="0"/>
        <v>8</v>
      </c>
      <c r="P35" s="40">
        <f t="shared" si="0"/>
        <v>0</v>
      </c>
      <c r="Q35" s="40">
        <f t="shared" si="0"/>
        <v>0</v>
      </c>
      <c r="R35" s="40">
        <f t="shared" si="0"/>
        <v>0</v>
      </c>
      <c r="S35" s="40">
        <f t="shared" si="0"/>
        <v>0</v>
      </c>
      <c r="T35" s="40">
        <f t="shared" si="0"/>
        <v>0</v>
      </c>
      <c r="U35" s="40">
        <f t="shared" si="0"/>
        <v>0</v>
      </c>
      <c r="V35" s="40">
        <f t="shared" si="0"/>
        <v>534</v>
      </c>
      <c r="W35" s="40">
        <f t="shared" si="0"/>
        <v>387</v>
      </c>
      <c r="X35" s="40">
        <f t="shared" si="0"/>
        <v>0</v>
      </c>
      <c r="Y35" s="40">
        <f t="shared" si="0"/>
        <v>0</v>
      </c>
      <c r="Z35" s="40">
        <f t="shared" si="0"/>
        <v>6</v>
      </c>
      <c r="AA35" s="40">
        <f t="shared" si="0"/>
        <v>14</v>
      </c>
      <c r="AB35" s="40">
        <f t="shared" si="0"/>
        <v>728</v>
      </c>
      <c r="AC35" s="40">
        <f t="shared" si="0"/>
        <v>815</v>
      </c>
      <c r="AD35" s="40">
        <f t="shared" si="0"/>
        <v>0</v>
      </c>
      <c r="AE35" s="40">
        <f t="shared" si="0"/>
        <v>0</v>
      </c>
      <c r="AF35" s="40">
        <f t="shared" si="0"/>
        <v>4</v>
      </c>
      <c r="AG35" s="40">
        <f t="shared" si="0"/>
        <v>0</v>
      </c>
      <c r="AH35" s="40">
        <f t="shared" si="0"/>
        <v>2250</v>
      </c>
      <c r="AI35" s="40">
        <f t="shared" si="0"/>
        <v>1518</v>
      </c>
      <c r="AJ35" s="40">
        <f t="shared" si="0"/>
        <v>0</v>
      </c>
      <c r="AK35" s="40">
        <f t="shared" si="0"/>
        <v>0</v>
      </c>
      <c r="AL35" s="40">
        <f t="shared" si="0"/>
        <v>59</v>
      </c>
      <c r="AM35" s="40">
        <f t="shared" si="0"/>
        <v>0</v>
      </c>
      <c r="AN35" s="40">
        <f t="shared" si="0"/>
        <v>268</v>
      </c>
      <c r="AO35" s="40">
        <f t="shared" si="0"/>
        <v>265</v>
      </c>
      <c r="AP35" s="40">
        <f t="shared" si="0"/>
        <v>0</v>
      </c>
      <c r="AQ35" s="40">
        <f t="shared" si="0"/>
        <v>0</v>
      </c>
      <c r="AR35" s="40">
        <f t="shared" si="0"/>
        <v>0</v>
      </c>
      <c r="AS35" s="40">
        <f t="shared" si="0"/>
        <v>0</v>
      </c>
      <c r="AT35" s="40">
        <f t="shared" si="0"/>
        <v>210</v>
      </c>
      <c r="AU35" s="40">
        <f t="shared" si="0"/>
        <v>207</v>
      </c>
      <c r="AV35" s="40">
        <f t="shared" si="0"/>
        <v>0</v>
      </c>
      <c r="AW35" s="40">
        <f t="shared" si="0"/>
        <v>0</v>
      </c>
      <c r="AX35" s="40">
        <f t="shared" si="0"/>
        <v>0</v>
      </c>
      <c r="AY35" s="40">
        <f t="shared" si="0"/>
        <v>0</v>
      </c>
      <c r="AZ35" s="40">
        <f t="shared" si="0"/>
        <v>208</v>
      </c>
      <c r="BA35" s="40">
        <f t="shared" si="0"/>
        <v>1080</v>
      </c>
      <c r="BB35" s="40">
        <f t="shared" si="0"/>
        <v>0</v>
      </c>
      <c r="BC35" s="40">
        <f t="shared" si="0"/>
        <v>0</v>
      </c>
      <c r="BD35" s="40">
        <f t="shared" si="0"/>
        <v>155</v>
      </c>
      <c r="BE35" s="40">
        <f t="shared" si="0"/>
        <v>0</v>
      </c>
      <c r="BF35" s="40">
        <f t="shared" si="0"/>
        <v>3941</v>
      </c>
      <c r="BG35" s="40">
        <f t="shared" si="0"/>
        <v>2745</v>
      </c>
      <c r="BH35" s="40">
        <f t="shared" si="0"/>
        <v>0</v>
      </c>
      <c r="BI35" s="40">
        <f t="shared" si="0"/>
        <v>0</v>
      </c>
      <c r="BJ35" s="40">
        <f t="shared" si="0"/>
        <v>301</v>
      </c>
      <c r="BK35" s="40">
        <f t="shared" si="0"/>
        <v>70</v>
      </c>
      <c r="BL35" s="40">
        <f t="shared" si="0"/>
        <v>522</v>
      </c>
      <c r="BM35" s="40">
        <f t="shared" si="0"/>
        <v>1126</v>
      </c>
      <c r="BN35" s="40">
        <f t="shared" si="0"/>
        <v>0</v>
      </c>
      <c r="BO35" s="40">
        <f t="shared" si="0"/>
        <v>0</v>
      </c>
      <c r="BP35" s="40">
        <f t="shared" ref="BP35:EA35" si="1">SUM(BP6:BP34)</f>
        <v>45</v>
      </c>
      <c r="BQ35" s="40">
        <f t="shared" si="1"/>
        <v>28</v>
      </c>
      <c r="BR35" s="40">
        <f t="shared" si="1"/>
        <v>364</v>
      </c>
      <c r="BS35" s="40">
        <f t="shared" si="1"/>
        <v>197</v>
      </c>
      <c r="BT35" s="40">
        <f t="shared" si="1"/>
        <v>0</v>
      </c>
      <c r="BU35" s="40">
        <f t="shared" si="1"/>
        <v>0</v>
      </c>
      <c r="BV35" s="40">
        <f t="shared" si="1"/>
        <v>0</v>
      </c>
      <c r="BW35" s="40">
        <f t="shared" si="1"/>
        <v>0</v>
      </c>
      <c r="BX35" s="40">
        <f t="shared" si="1"/>
        <v>350</v>
      </c>
      <c r="BY35" s="40">
        <f t="shared" si="1"/>
        <v>411</v>
      </c>
      <c r="BZ35" s="40">
        <f t="shared" si="1"/>
        <v>0</v>
      </c>
      <c r="CA35" s="40">
        <f t="shared" si="1"/>
        <v>0</v>
      </c>
      <c r="CB35" s="40">
        <f t="shared" si="1"/>
        <v>0</v>
      </c>
      <c r="CC35" s="40">
        <f t="shared" si="1"/>
        <v>0</v>
      </c>
      <c r="CD35" s="40">
        <f t="shared" si="1"/>
        <v>0</v>
      </c>
      <c r="CE35" s="40">
        <f t="shared" si="1"/>
        <v>96</v>
      </c>
      <c r="CF35" s="40">
        <f t="shared" si="1"/>
        <v>0</v>
      </c>
      <c r="CG35" s="40">
        <f t="shared" si="1"/>
        <v>0</v>
      </c>
      <c r="CH35" s="40">
        <f t="shared" si="1"/>
        <v>0</v>
      </c>
      <c r="CI35" s="40">
        <f t="shared" si="1"/>
        <v>0</v>
      </c>
      <c r="CJ35" s="40">
        <f t="shared" si="1"/>
        <v>205</v>
      </c>
      <c r="CK35" s="40">
        <f t="shared" si="1"/>
        <v>113</v>
      </c>
      <c r="CL35" s="40">
        <f t="shared" si="1"/>
        <v>0</v>
      </c>
      <c r="CM35" s="40">
        <f t="shared" si="1"/>
        <v>0</v>
      </c>
      <c r="CN35" s="40">
        <f t="shared" si="1"/>
        <v>0</v>
      </c>
      <c r="CO35" s="40">
        <f t="shared" si="1"/>
        <v>25</v>
      </c>
      <c r="CP35" s="40">
        <f t="shared" si="1"/>
        <v>122</v>
      </c>
      <c r="CQ35" s="40">
        <f t="shared" si="1"/>
        <v>93</v>
      </c>
      <c r="CR35" s="40">
        <f t="shared" si="1"/>
        <v>0</v>
      </c>
      <c r="CS35" s="40">
        <f t="shared" si="1"/>
        <v>0</v>
      </c>
      <c r="CT35" s="40">
        <f t="shared" si="1"/>
        <v>0</v>
      </c>
      <c r="CU35" s="40">
        <f t="shared" si="1"/>
        <v>0</v>
      </c>
      <c r="CV35" s="40">
        <f t="shared" si="1"/>
        <v>500</v>
      </c>
      <c r="CW35" s="40">
        <f t="shared" si="1"/>
        <v>224</v>
      </c>
      <c r="CX35" s="40">
        <f t="shared" si="1"/>
        <v>0</v>
      </c>
      <c r="CY35" s="40">
        <f t="shared" si="1"/>
        <v>0</v>
      </c>
      <c r="CZ35" s="40">
        <f t="shared" si="1"/>
        <v>5</v>
      </c>
      <c r="DA35" s="40">
        <f t="shared" si="1"/>
        <v>0</v>
      </c>
      <c r="DB35" s="40">
        <f t="shared" si="1"/>
        <v>532</v>
      </c>
      <c r="DC35" s="40">
        <f t="shared" si="1"/>
        <v>447</v>
      </c>
      <c r="DD35" s="40">
        <f t="shared" si="1"/>
        <v>0</v>
      </c>
      <c r="DE35" s="40">
        <f t="shared" si="1"/>
        <v>0</v>
      </c>
      <c r="DF35" s="40">
        <f t="shared" si="1"/>
        <v>15</v>
      </c>
      <c r="DG35" s="40">
        <f t="shared" si="1"/>
        <v>30</v>
      </c>
      <c r="DH35" s="40">
        <f t="shared" si="1"/>
        <v>132</v>
      </c>
      <c r="DI35" s="40">
        <f t="shared" si="1"/>
        <v>60</v>
      </c>
      <c r="DJ35" s="40">
        <f t="shared" si="1"/>
        <v>0</v>
      </c>
      <c r="DK35" s="40">
        <f t="shared" si="1"/>
        <v>0</v>
      </c>
      <c r="DL35" s="40">
        <f t="shared" si="1"/>
        <v>0</v>
      </c>
      <c r="DM35" s="40">
        <f t="shared" si="1"/>
        <v>0</v>
      </c>
      <c r="DN35" s="40">
        <f t="shared" si="1"/>
        <v>54</v>
      </c>
      <c r="DO35" s="40">
        <f t="shared" si="1"/>
        <v>62</v>
      </c>
      <c r="DP35" s="40">
        <f t="shared" si="1"/>
        <v>0</v>
      </c>
      <c r="DQ35" s="40">
        <f t="shared" si="1"/>
        <v>0</v>
      </c>
      <c r="DR35" s="40">
        <f t="shared" si="1"/>
        <v>0</v>
      </c>
      <c r="DS35" s="40">
        <f t="shared" si="1"/>
        <v>0</v>
      </c>
      <c r="DT35" s="40">
        <f t="shared" si="1"/>
        <v>67</v>
      </c>
      <c r="DU35" s="40">
        <f t="shared" si="1"/>
        <v>45</v>
      </c>
      <c r="DV35" s="40">
        <f t="shared" si="1"/>
        <v>0</v>
      </c>
      <c r="DW35" s="40">
        <f t="shared" si="1"/>
        <v>0</v>
      </c>
      <c r="DX35" s="40">
        <f t="shared" si="1"/>
        <v>0</v>
      </c>
      <c r="DY35" s="40">
        <f t="shared" si="1"/>
        <v>0</v>
      </c>
      <c r="DZ35" s="40">
        <f t="shared" si="1"/>
        <v>82</v>
      </c>
      <c r="EA35" s="40">
        <f t="shared" si="1"/>
        <v>97</v>
      </c>
      <c r="EB35" s="40">
        <f t="shared" ref="EB35:GM35" si="2">SUM(EB6:EB34)</f>
        <v>0</v>
      </c>
      <c r="EC35" s="40">
        <f t="shared" si="2"/>
        <v>0</v>
      </c>
      <c r="ED35" s="40">
        <f t="shared" si="2"/>
        <v>0</v>
      </c>
      <c r="EE35" s="40">
        <f t="shared" si="2"/>
        <v>0</v>
      </c>
      <c r="EF35" s="40">
        <f t="shared" si="2"/>
        <v>324</v>
      </c>
      <c r="EG35" s="40">
        <f t="shared" si="2"/>
        <v>245</v>
      </c>
      <c r="EH35" s="40">
        <f t="shared" si="2"/>
        <v>11</v>
      </c>
      <c r="EI35" s="40">
        <f t="shared" si="2"/>
        <v>0</v>
      </c>
      <c r="EJ35" s="40">
        <f t="shared" si="2"/>
        <v>0</v>
      </c>
      <c r="EK35" s="40">
        <f t="shared" si="2"/>
        <v>2</v>
      </c>
      <c r="EL35" s="40">
        <f t="shared" si="2"/>
        <v>258</v>
      </c>
      <c r="EM35" s="40">
        <f t="shared" si="2"/>
        <v>127</v>
      </c>
      <c r="EN35" s="40">
        <f t="shared" si="2"/>
        <v>0</v>
      </c>
      <c r="EO35" s="40">
        <f t="shared" si="2"/>
        <v>0</v>
      </c>
      <c r="EP35" s="40">
        <f t="shared" si="2"/>
        <v>3</v>
      </c>
      <c r="EQ35" s="40">
        <f t="shared" si="2"/>
        <v>0</v>
      </c>
      <c r="ER35" s="40">
        <f t="shared" si="2"/>
        <v>26</v>
      </c>
      <c r="ES35" s="40">
        <f t="shared" si="2"/>
        <v>38</v>
      </c>
      <c r="ET35" s="40">
        <f t="shared" si="2"/>
        <v>0</v>
      </c>
      <c r="EU35" s="40">
        <f t="shared" si="2"/>
        <v>0</v>
      </c>
      <c r="EV35" s="40">
        <f t="shared" si="2"/>
        <v>0</v>
      </c>
      <c r="EW35" s="40">
        <f t="shared" si="2"/>
        <v>0</v>
      </c>
      <c r="EX35" s="40">
        <f t="shared" si="2"/>
        <v>94</v>
      </c>
      <c r="EY35" s="40">
        <f t="shared" si="2"/>
        <v>119</v>
      </c>
      <c r="EZ35" s="40">
        <f t="shared" si="2"/>
        <v>0</v>
      </c>
      <c r="FA35" s="40">
        <f t="shared" si="2"/>
        <v>0</v>
      </c>
      <c r="FB35" s="40">
        <f t="shared" si="2"/>
        <v>1</v>
      </c>
      <c r="FC35" s="40">
        <f t="shared" si="2"/>
        <v>0</v>
      </c>
      <c r="FD35" s="40">
        <f t="shared" si="2"/>
        <v>80</v>
      </c>
      <c r="FE35" s="40">
        <f t="shared" si="2"/>
        <v>82</v>
      </c>
      <c r="FF35" s="40">
        <f t="shared" si="2"/>
        <v>1</v>
      </c>
      <c r="FG35" s="40">
        <f t="shared" si="2"/>
        <v>0</v>
      </c>
      <c r="FH35" s="40">
        <f t="shared" si="2"/>
        <v>0</v>
      </c>
      <c r="FI35" s="40">
        <f t="shared" si="2"/>
        <v>0</v>
      </c>
      <c r="FJ35" s="40">
        <f t="shared" si="2"/>
        <v>319</v>
      </c>
      <c r="FK35" s="40">
        <f t="shared" si="2"/>
        <v>229</v>
      </c>
      <c r="FL35" s="40">
        <f t="shared" si="2"/>
        <v>0</v>
      </c>
      <c r="FM35" s="40">
        <f t="shared" si="2"/>
        <v>0</v>
      </c>
      <c r="FN35" s="40">
        <f t="shared" si="2"/>
        <v>7</v>
      </c>
      <c r="FO35" s="40">
        <f t="shared" si="2"/>
        <v>0</v>
      </c>
      <c r="FP35" s="40">
        <f t="shared" si="2"/>
        <v>4</v>
      </c>
      <c r="FQ35" s="40">
        <f t="shared" si="2"/>
        <v>2</v>
      </c>
      <c r="FR35" s="40">
        <f t="shared" si="2"/>
        <v>0</v>
      </c>
      <c r="FS35" s="40">
        <f t="shared" si="2"/>
        <v>0</v>
      </c>
      <c r="FT35" s="40">
        <f t="shared" si="2"/>
        <v>0</v>
      </c>
      <c r="FU35" s="40">
        <f t="shared" si="2"/>
        <v>6</v>
      </c>
      <c r="FV35" s="40">
        <f t="shared" si="2"/>
        <v>0</v>
      </c>
      <c r="FW35" s="40">
        <f t="shared" si="2"/>
        <v>2</v>
      </c>
      <c r="FX35" s="40">
        <f t="shared" si="2"/>
        <v>0</v>
      </c>
      <c r="FY35" s="40">
        <f t="shared" si="2"/>
        <v>0</v>
      </c>
      <c r="FZ35" s="40">
        <f t="shared" si="2"/>
        <v>0</v>
      </c>
      <c r="GA35" s="40">
        <f t="shared" si="2"/>
        <v>0</v>
      </c>
      <c r="GB35" s="40">
        <f t="shared" si="2"/>
        <v>0</v>
      </c>
      <c r="GC35" s="40">
        <f t="shared" si="2"/>
        <v>1</v>
      </c>
      <c r="GD35" s="40">
        <f t="shared" si="2"/>
        <v>0</v>
      </c>
      <c r="GE35" s="40">
        <f t="shared" si="2"/>
        <v>0</v>
      </c>
      <c r="GF35" s="40">
        <f t="shared" si="2"/>
        <v>0</v>
      </c>
      <c r="GG35" s="40">
        <f t="shared" si="2"/>
        <v>0</v>
      </c>
      <c r="GH35" s="40">
        <f t="shared" si="2"/>
        <v>0</v>
      </c>
      <c r="GI35" s="40">
        <f t="shared" si="2"/>
        <v>6</v>
      </c>
      <c r="GJ35" s="40">
        <f t="shared" si="2"/>
        <v>0</v>
      </c>
      <c r="GK35" s="40">
        <f t="shared" si="2"/>
        <v>0</v>
      </c>
      <c r="GL35" s="40">
        <f t="shared" si="2"/>
        <v>0</v>
      </c>
      <c r="GM35" s="40">
        <f t="shared" si="2"/>
        <v>2</v>
      </c>
      <c r="GN35" s="40">
        <f t="shared" ref="GN35:II35" si="3">SUM(GN6:GN34)</f>
        <v>13</v>
      </c>
      <c r="GO35" s="40">
        <f t="shared" si="3"/>
        <v>16</v>
      </c>
      <c r="GP35" s="40">
        <f t="shared" si="3"/>
        <v>0</v>
      </c>
      <c r="GQ35" s="40">
        <f t="shared" si="3"/>
        <v>0</v>
      </c>
      <c r="GR35" s="40">
        <f t="shared" si="3"/>
        <v>0</v>
      </c>
      <c r="GS35" s="40">
        <f t="shared" si="3"/>
        <v>0</v>
      </c>
      <c r="GT35" s="40">
        <f t="shared" si="3"/>
        <v>0</v>
      </c>
      <c r="GU35" s="40">
        <f t="shared" si="3"/>
        <v>2</v>
      </c>
      <c r="GV35" s="40">
        <f t="shared" si="3"/>
        <v>0</v>
      </c>
      <c r="GW35" s="40">
        <f t="shared" si="3"/>
        <v>0</v>
      </c>
      <c r="GX35" s="40">
        <f t="shared" si="3"/>
        <v>0</v>
      </c>
      <c r="GY35" s="40">
        <f t="shared" si="3"/>
        <v>0</v>
      </c>
      <c r="GZ35" s="40">
        <f t="shared" si="3"/>
        <v>2</v>
      </c>
      <c r="HA35" s="40">
        <f t="shared" si="3"/>
        <v>0</v>
      </c>
      <c r="HB35" s="40">
        <f t="shared" si="3"/>
        <v>0</v>
      </c>
      <c r="HC35" s="40">
        <f t="shared" si="3"/>
        <v>0</v>
      </c>
      <c r="HD35" s="40">
        <f t="shared" si="3"/>
        <v>0</v>
      </c>
      <c r="HE35" s="40">
        <f t="shared" si="3"/>
        <v>0</v>
      </c>
      <c r="HF35" s="40">
        <f t="shared" si="3"/>
        <v>0</v>
      </c>
      <c r="HG35" s="40">
        <f t="shared" si="3"/>
        <v>4</v>
      </c>
      <c r="HH35" s="40">
        <f t="shared" si="3"/>
        <v>0</v>
      </c>
      <c r="HI35" s="40">
        <f t="shared" si="3"/>
        <v>0</v>
      </c>
      <c r="HJ35" s="40">
        <f t="shared" si="3"/>
        <v>0</v>
      </c>
      <c r="HK35" s="40">
        <f t="shared" si="3"/>
        <v>0</v>
      </c>
      <c r="HL35" s="40">
        <f t="shared" si="3"/>
        <v>0</v>
      </c>
      <c r="HM35" s="40">
        <f t="shared" si="3"/>
        <v>6</v>
      </c>
      <c r="HN35" s="40">
        <f t="shared" si="3"/>
        <v>0</v>
      </c>
      <c r="HO35" s="40">
        <f t="shared" si="3"/>
        <v>0</v>
      </c>
      <c r="HP35" s="40">
        <f t="shared" si="3"/>
        <v>0</v>
      </c>
      <c r="HQ35" s="40">
        <f t="shared" si="3"/>
        <v>0</v>
      </c>
      <c r="HR35" s="40">
        <f t="shared" si="3"/>
        <v>53</v>
      </c>
      <c r="HS35" s="40">
        <f t="shared" si="3"/>
        <v>47</v>
      </c>
      <c r="HT35" s="40">
        <f t="shared" si="3"/>
        <v>0</v>
      </c>
      <c r="HU35" s="40">
        <f t="shared" si="3"/>
        <v>0</v>
      </c>
      <c r="HV35" s="40">
        <f t="shared" si="3"/>
        <v>0</v>
      </c>
      <c r="HW35" s="40">
        <f t="shared" si="3"/>
        <v>8</v>
      </c>
      <c r="HX35" s="40">
        <f t="shared" si="3"/>
        <v>0</v>
      </c>
      <c r="HY35" s="40">
        <f t="shared" si="3"/>
        <v>1</v>
      </c>
      <c r="HZ35" s="40">
        <f t="shared" si="3"/>
        <v>0</v>
      </c>
      <c r="IA35" s="40">
        <f t="shared" si="3"/>
        <v>0</v>
      </c>
      <c r="IB35" s="40">
        <f t="shared" si="3"/>
        <v>0</v>
      </c>
      <c r="IC35" s="40">
        <f t="shared" si="3"/>
        <v>0</v>
      </c>
      <c r="ID35" s="40">
        <f t="shared" si="3"/>
        <v>6</v>
      </c>
      <c r="IE35" s="40">
        <f t="shared" si="3"/>
        <v>6</v>
      </c>
      <c r="IF35" s="40">
        <f t="shared" si="3"/>
        <v>0</v>
      </c>
      <c r="IG35" s="40">
        <f t="shared" si="3"/>
        <v>0</v>
      </c>
      <c r="IH35" s="40">
        <f t="shared" si="3"/>
        <v>0</v>
      </c>
      <c r="II35" s="40">
        <f t="shared" si="3"/>
        <v>0</v>
      </c>
    </row>
  </sheetData>
  <sheetProtection algorithmName="SHA-512" hashValue="kEQG31O/JNbkZ7epv8Xrph9w0+x3ktUnFv+4gM87CEcMDiyT875CZC631PaAx07540JNL5md9W7RYf0054sX3g==" saltValue="7H+uAKKkslF87Aoi/SBR4w==" spinCount="100000" sheet="1" objects="1" scenarios="1"/>
  <mergeCells count="45">
    <mergeCell ref="A1:II1"/>
    <mergeCell ref="A2:II2"/>
    <mergeCell ref="A3:A4"/>
    <mergeCell ref="B3:B4"/>
    <mergeCell ref="C3:C4"/>
    <mergeCell ref="D3:I3"/>
    <mergeCell ref="J3:O3"/>
    <mergeCell ref="P3:U3"/>
    <mergeCell ref="V3:AA3"/>
    <mergeCell ref="AB3:AG3"/>
    <mergeCell ref="AH3:AM3"/>
    <mergeCell ref="AN3:AS3"/>
    <mergeCell ref="AT3:AY3"/>
    <mergeCell ref="AZ3:BE3"/>
    <mergeCell ref="BF3:BK3"/>
    <mergeCell ref="BL3:BQ3"/>
    <mergeCell ref="BR3:BW3"/>
    <mergeCell ref="BX3:CC3"/>
    <mergeCell ref="CD3:CI3"/>
    <mergeCell ref="CJ3:CO3"/>
    <mergeCell ref="CP3:CU3"/>
    <mergeCell ref="CV3:DA3"/>
    <mergeCell ref="DB3:DG3"/>
    <mergeCell ref="DH3:DM3"/>
    <mergeCell ref="DN3:DS3"/>
    <mergeCell ref="DT3:DY3"/>
    <mergeCell ref="DZ3:EE3"/>
    <mergeCell ref="EF3:EK3"/>
    <mergeCell ref="EL3:EQ3"/>
    <mergeCell ref="ER3:EW3"/>
    <mergeCell ref="EX3:FC3"/>
    <mergeCell ref="FD3:FI3"/>
    <mergeCell ref="FJ3:FO3"/>
    <mergeCell ref="FP3:FU3"/>
    <mergeCell ref="FV3:GA3"/>
    <mergeCell ref="GB3:GG3"/>
    <mergeCell ref="HL3:HQ3"/>
    <mergeCell ref="HR3:HW3"/>
    <mergeCell ref="HX3:IC3"/>
    <mergeCell ref="ID3:II3"/>
    <mergeCell ref="GH3:GM3"/>
    <mergeCell ref="GN3:GS3"/>
    <mergeCell ref="GT3:GY3"/>
    <mergeCell ref="GZ3:HE3"/>
    <mergeCell ref="HF3:HK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3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5" sqref="D15"/>
    </sheetView>
  </sheetViews>
  <sheetFormatPr defaultColWidth="8.6640625" defaultRowHeight="14.4" x14ac:dyDescent="0.3"/>
  <cols>
    <col min="1" max="1" width="4" customWidth="1"/>
    <col min="2" max="2" width="24" customWidth="1"/>
    <col min="3" max="3" width="38" customWidth="1"/>
    <col min="4" max="5" width="20" customWidth="1"/>
    <col min="6" max="6" width="24" customWidth="1"/>
  </cols>
  <sheetData>
    <row r="1" spans="2:6" ht="43.5" customHeight="1" x14ac:dyDescent="0.3">
      <c r="B1" s="138" t="s">
        <v>107</v>
      </c>
      <c r="C1" s="138"/>
      <c r="D1" s="138"/>
      <c r="E1" s="138"/>
      <c r="F1" s="138"/>
    </row>
    <row r="2" spans="2:6" ht="18" customHeight="1" x14ac:dyDescent="0.3">
      <c r="B2" s="139" t="s">
        <v>108</v>
      </c>
      <c r="C2" s="139"/>
      <c r="D2" s="139"/>
      <c r="E2" s="139"/>
      <c r="F2" s="139"/>
    </row>
    <row r="4" spans="2:6" ht="30" customHeight="1" x14ac:dyDescent="0.3">
      <c r="B4" s="140" t="s">
        <v>109</v>
      </c>
      <c r="C4" s="140"/>
      <c r="D4" s="140"/>
      <c r="E4" s="140"/>
      <c r="F4" s="140"/>
    </row>
    <row r="5" spans="2:6" ht="21.75" customHeight="1" x14ac:dyDescent="0.3">
      <c r="B5" s="77" t="s">
        <v>110</v>
      </c>
      <c r="C5" s="77" t="s">
        <v>111</v>
      </c>
      <c r="D5" s="77" t="s">
        <v>112</v>
      </c>
      <c r="E5" s="77" t="s">
        <v>113</v>
      </c>
      <c r="F5" s="77" t="s">
        <v>114</v>
      </c>
    </row>
    <row r="6" spans="2:6" ht="36" customHeight="1" x14ac:dyDescent="0.3">
      <c r="B6" s="78" t="s">
        <v>115</v>
      </c>
      <c r="C6" s="79" t="s">
        <v>116</v>
      </c>
      <c r="D6" s="79" t="s">
        <v>117</v>
      </c>
      <c r="E6" s="79" t="s">
        <v>118</v>
      </c>
      <c r="F6" s="79" t="s">
        <v>119</v>
      </c>
    </row>
    <row r="7" spans="2:6" ht="36" customHeight="1" x14ac:dyDescent="0.3">
      <c r="B7" s="80" t="s">
        <v>72</v>
      </c>
      <c r="C7" s="81" t="s">
        <v>120</v>
      </c>
      <c r="D7" s="81" t="s">
        <v>121</v>
      </c>
      <c r="E7" s="81" t="s">
        <v>122</v>
      </c>
      <c r="F7" s="81" t="s">
        <v>119</v>
      </c>
    </row>
    <row r="8" spans="2:6" ht="36" customHeight="1" x14ac:dyDescent="0.3">
      <c r="B8" s="82" t="s">
        <v>73</v>
      </c>
      <c r="C8" s="83" t="s">
        <v>123</v>
      </c>
      <c r="D8" s="83" t="s">
        <v>124</v>
      </c>
      <c r="E8" s="83" t="s">
        <v>125</v>
      </c>
      <c r="F8" s="83" t="s">
        <v>119</v>
      </c>
    </row>
    <row r="9" spans="2:6" ht="36" customHeight="1" x14ac:dyDescent="0.3">
      <c r="B9" s="84" t="s">
        <v>74</v>
      </c>
      <c r="C9" s="85" t="s">
        <v>126</v>
      </c>
      <c r="D9" s="85" t="s">
        <v>124</v>
      </c>
      <c r="E9" s="85" t="s">
        <v>127</v>
      </c>
      <c r="F9" s="85" t="s">
        <v>128</v>
      </c>
    </row>
    <row r="11" spans="2:6" ht="30" customHeight="1" x14ac:dyDescent="0.3">
      <c r="B11" s="141" t="s">
        <v>129</v>
      </c>
      <c r="C11" s="141"/>
      <c r="D11" s="141"/>
      <c r="E11" s="141"/>
      <c r="F11" s="141"/>
    </row>
    <row r="12" spans="2:6" ht="21.75" customHeight="1" x14ac:dyDescent="0.3">
      <c r="B12" s="86" t="s">
        <v>130</v>
      </c>
      <c r="C12" s="86" t="s">
        <v>131</v>
      </c>
      <c r="D12" s="86" t="s">
        <v>132</v>
      </c>
      <c r="E12" s="86" t="s">
        <v>133</v>
      </c>
    </row>
    <row r="13" spans="2:6" ht="45" customHeight="1" x14ac:dyDescent="0.3">
      <c r="B13" s="87" t="s">
        <v>134</v>
      </c>
      <c r="C13" s="88" t="s">
        <v>135</v>
      </c>
      <c r="D13" s="88" t="s">
        <v>136</v>
      </c>
      <c r="E13" s="88" t="s">
        <v>137</v>
      </c>
      <c r="F13" s="89"/>
    </row>
    <row r="14" spans="2:6" ht="36" customHeight="1" x14ac:dyDescent="0.3">
      <c r="B14" s="90" t="s">
        <v>138</v>
      </c>
      <c r="C14" s="91" t="s">
        <v>139</v>
      </c>
      <c r="D14" s="91" t="s">
        <v>136</v>
      </c>
      <c r="E14" s="91" t="s">
        <v>140</v>
      </c>
      <c r="F14" s="89"/>
    </row>
    <row r="15" spans="2:6" ht="36" customHeight="1" x14ac:dyDescent="0.3">
      <c r="B15" s="87" t="s">
        <v>141</v>
      </c>
      <c r="C15" s="88" t="s">
        <v>142</v>
      </c>
      <c r="D15" s="88" t="s">
        <v>136</v>
      </c>
      <c r="E15" s="88" t="s">
        <v>143</v>
      </c>
      <c r="F15" s="89"/>
    </row>
    <row r="17" spans="2:6" ht="30" customHeight="1" x14ac:dyDescent="0.3">
      <c r="B17" s="141" t="s">
        <v>144</v>
      </c>
      <c r="C17" s="141"/>
      <c r="D17" s="141"/>
      <c r="E17" s="141"/>
      <c r="F17" s="141"/>
    </row>
    <row r="18" spans="2:6" ht="21.75" customHeight="1" x14ac:dyDescent="0.3">
      <c r="B18" s="86" t="s">
        <v>132</v>
      </c>
      <c r="C18" s="86" t="s">
        <v>145</v>
      </c>
    </row>
    <row r="19" spans="2:6" ht="21.75" customHeight="1" x14ac:dyDescent="0.3">
      <c r="B19" s="87" t="s">
        <v>136</v>
      </c>
      <c r="C19" s="88" t="s">
        <v>146</v>
      </c>
      <c r="D19" s="92"/>
      <c r="E19" s="92"/>
      <c r="F19" s="92"/>
    </row>
    <row r="20" spans="2:6" ht="21.75" customHeight="1" x14ac:dyDescent="0.3">
      <c r="B20" s="90" t="s">
        <v>147</v>
      </c>
      <c r="C20" s="91" t="s">
        <v>148</v>
      </c>
      <c r="D20" s="93"/>
      <c r="E20" s="93"/>
      <c r="F20" s="93"/>
    </row>
    <row r="21" spans="2:6" ht="21.75" customHeight="1" x14ac:dyDescent="0.3">
      <c r="B21" s="87" t="s">
        <v>149</v>
      </c>
      <c r="C21" s="88" t="s">
        <v>150</v>
      </c>
      <c r="D21" s="92"/>
      <c r="E21" s="92"/>
      <c r="F21" s="92"/>
    </row>
    <row r="22" spans="2:6" ht="21.75" customHeight="1" x14ac:dyDescent="0.3">
      <c r="B22" s="90" t="s">
        <v>151</v>
      </c>
      <c r="C22" s="91" t="s">
        <v>152</v>
      </c>
      <c r="D22" s="93"/>
      <c r="E22" s="93"/>
      <c r="F22" s="93"/>
    </row>
    <row r="24" spans="2:6" ht="30" customHeight="1" x14ac:dyDescent="0.3">
      <c r="B24" s="137" t="s">
        <v>153</v>
      </c>
      <c r="C24" s="137"/>
      <c r="D24" s="137"/>
      <c r="E24" s="137"/>
      <c r="F24" s="137"/>
    </row>
    <row r="25" spans="2:6" ht="21.75" customHeight="1" x14ac:dyDescent="0.3">
      <c r="B25" s="86" t="s">
        <v>154</v>
      </c>
      <c r="C25" s="86" t="s">
        <v>155</v>
      </c>
      <c r="D25" s="86" t="s">
        <v>156</v>
      </c>
      <c r="E25" s="86" t="s">
        <v>157</v>
      </c>
      <c r="F25" s="86" t="s">
        <v>133</v>
      </c>
    </row>
    <row r="26" spans="2:6" ht="21.75" customHeight="1" x14ac:dyDescent="0.3">
      <c r="B26" s="94" t="s">
        <v>158</v>
      </c>
      <c r="C26" s="95" t="s">
        <v>159</v>
      </c>
      <c r="D26" s="95" t="s">
        <v>160</v>
      </c>
      <c r="E26" s="95" t="s">
        <v>161</v>
      </c>
      <c r="F26" s="95" t="s">
        <v>162</v>
      </c>
    </row>
    <row r="27" spans="2:6" ht="21.75" customHeight="1" x14ac:dyDescent="0.3">
      <c r="B27" s="94" t="s">
        <v>37</v>
      </c>
      <c r="C27" s="95" t="s">
        <v>163</v>
      </c>
      <c r="D27" s="95" t="s">
        <v>164</v>
      </c>
      <c r="E27" s="95" t="s">
        <v>165</v>
      </c>
      <c r="F27" s="95" t="s">
        <v>162</v>
      </c>
    </row>
    <row r="28" spans="2:6" ht="21.75" customHeight="1" x14ac:dyDescent="0.3">
      <c r="B28" s="94" t="s">
        <v>166</v>
      </c>
      <c r="C28" s="95" t="s">
        <v>167</v>
      </c>
      <c r="D28" s="95" t="s">
        <v>168</v>
      </c>
      <c r="E28" s="95" t="s">
        <v>165</v>
      </c>
      <c r="F28" s="95" t="s">
        <v>162</v>
      </c>
    </row>
    <row r="29" spans="2:6" ht="21.75" customHeight="1" x14ac:dyDescent="0.3">
      <c r="B29" s="94" t="s">
        <v>169</v>
      </c>
      <c r="C29" s="95" t="s">
        <v>170</v>
      </c>
      <c r="D29" s="95" t="s">
        <v>171</v>
      </c>
      <c r="E29" s="95" t="s">
        <v>172</v>
      </c>
      <c r="F29" s="95" t="s">
        <v>162</v>
      </c>
    </row>
    <row r="30" spans="2:6" ht="21.75" customHeight="1" x14ac:dyDescent="0.3">
      <c r="B30" s="94" t="s">
        <v>40</v>
      </c>
      <c r="C30" s="95" t="s">
        <v>173</v>
      </c>
      <c r="D30" s="95" t="s">
        <v>174</v>
      </c>
      <c r="E30" s="95" t="s">
        <v>175</v>
      </c>
      <c r="F30" s="95" t="s">
        <v>162</v>
      </c>
    </row>
    <row r="31" spans="2:6" ht="21.75" customHeight="1" x14ac:dyDescent="0.3">
      <c r="B31" s="94" t="s">
        <v>41</v>
      </c>
      <c r="C31" s="95" t="s">
        <v>176</v>
      </c>
      <c r="D31" s="95" t="s">
        <v>177</v>
      </c>
      <c r="E31" s="95" t="s">
        <v>178</v>
      </c>
      <c r="F31" s="95" t="s">
        <v>179</v>
      </c>
    </row>
    <row r="32" spans="2:6" ht="21.75" customHeight="1" x14ac:dyDescent="0.3">
      <c r="B32" s="94" t="s">
        <v>180</v>
      </c>
      <c r="C32" s="95" t="s">
        <v>181</v>
      </c>
      <c r="D32" s="95" t="s">
        <v>182</v>
      </c>
      <c r="E32" s="95" t="s">
        <v>183</v>
      </c>
      <c r="F32" s="95" t="s">
        <v>179</v>
      </c>
    </row>
    <row r="33" spans="2:6" ht="21.75" customHeight="1" x14ac:dyDescent="0.3">
      <c r="B33" s="94" t="s">
        <v>184</v>
      </c>
      <c r="C33" s="95" t="s">
        <v>185</v>
      </c>
      <c r="D33" s="95" t="s">
        <v>186</v>
      </c>
      <c r="E33" s="95" t="s">
        <v>187</v>
      </c>
      <c r="F33" s="95" t="s">
        <v>162</v>
      </c>
    </row>
    <row r="34" spans="2:6" ht="21.75" customHeight="1" x14ac:dyDescent="0.3">
      <c r="B34" s="96" t="s">
        <v>188</v>
      </c>
      <c r="C34" s="97" t="s">
        <v>189</v>
      </c>
      <c r="D34" s="97" t="s">
        <v>190</v>
      </c>
      <c r="E34" s="97" t="s">
        <v>191</v>
      </c>
      <c r="F34" s="97" t="s">
        <v>192</v>
      </c>
    </row>
    <row r="35" spans="2:6" ht="21.75" customHeight="1" x14ac:dyDescent="0.3">
      <c r="B35" s="96" t="s">
        <v>193</v>
      </c>
      <c r="C35" s="97" t="s">
        <v>194</v>
      </c>
      <c r="D35" s="97" t="s">
        <v>195</v>
      </c>
      <c r="E35" s="97" t="s">
        <v>172</v>
      </c>
      <c r="F35" s="97" t="s">
        <v>192</v>
      </c>
    </row>
    <row r="36" spans="2:6" ht="21.75" customHeight="1" x14ac:dyDescent="0.3">
      <c r="B36" s="96" t="s">
        <v>196</v>
      </c>
      <c r="C36" s="97" t="s">
        <v>197</v>
      </c>
      <c r="D36" s="97" t="s">
        <v>198</v>
      </c>
      <c r="E36" s="97" t="s">
        <v>199</v>
      </c>
      <c r="F36" s="97" t="s">
        <v>192</v>
      </c>
    </row>
    <row r="37" spans="2:6" ht="21.75" customHeight="1" x14ac:dyDescent="0.3">
      <c r="B37" s="96" t="s">
        <v>200</v>
      </c>
      <c r="C37" s="97" t="s">
        <v>201</v>
      </c>
      <c r="D37" s="97" t="s">
        <v>202</v>
      </c>
      <c r="E37" s="97" t="s">
        <v>187</v>
      </c>
      <c r="F37" s="97" t="s">
        <v>192</v>
      </c>
    </row>
  </sheetData>
  <sheetProtection algorithmName="SHA-512" hashValue="jJPEFjou+MjdQMNGC+xuxuVet/dK+MtOwSBCd7a9D+Am9zvvXzO3VRVYg4I2l5zWYMRv9GeaK+uXMZ3lnWoqIg==" saltValue="AyLIIyIdhcvsqxxO8ZN/mw==" spinCount="100000" sheet="1" objects="1" scenarios="1"/>
  <mergeCells count="6">
    <mergeCell ref="B24:F24"/>
    <mergeCell ref="B1:F1"/>
    <mergeCell ref="B2:F2"/>
    <mergeCell ref="B4:F4"/>
    <mergeCell ref="B11:F11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5"/>
  <sheetViews>
    <sheetView tabSelected="1" zoomScaleNormal="100" workbookViewId="0">
      <pane ySplit="5" topLeftCell="A6" activePane="bottomLeft" state="frozen"/>
      <selection pane="bottomLeft" activeCell="D16" sqref="D16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203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>
        <v>103</v>
      </c>
      <c r="C2" s="41" t="s">
        <v>205</v>
      </c>
      <c r="D2" s="143">
        <v>45454</v>
      </c>
      <c r="E2" s="143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20</v>
      </c>
      <c r="C7" s="46">
        <v>324</v>
      </c>
      <c r="D7" s="47">
        <f t="shared" ref="D7:D19" si="0">IF(B7="",0,E7+F7+G7+H7)</f>
        <v>315</v>
      </c>
      <c r="E7" s="48">
        <v>315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>
        <f t="shared" ref="O7:O19" si="1">IF(B7="","",IF((E7+F7)-C7&gt;=0,"OK",(E7+F7)-C7))</f>
        <v>-9</v>
      </c>
      <c r="P7" s="55" t="s">
        <v>218</v>
      </c>
    </row>
    <row r="8" spans="1:16" ht="21.75" customHeight="1" x14ac:dyDescent="0.3">
      <c r="A8" s="44" t="str">
        <f>IF(B8="","",VLOOKUP(B8,Lists!$A:$B,2,FALSE()))</f>
        <v>DRILL PIPE</v>
      </c>
      <c r="B8" s="45" t="s">
        <v>24</v>
      </c>
      <c r="C8" s="46">
        <v>324</v>
      </c>
      <c r="D8" s="47">
        <f t="shared" si="0"/>
        <v>0</v>
      </c>
      <c r="E8" s="48">
        <v>0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>
        <f t="shared" si="1"/>
        <v>-324</v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si="0"/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1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0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1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0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1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0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1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0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1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0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1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0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1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0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1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0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1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0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1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0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1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31</v>
      </c>
      <c r="C21" s="46">
        <v>43</v>
      </c>
      <c r="D21" s="57">
        <v>30</v>
      </c>
      <c r="E21" s="48">
        <v>10</v>
      </c>
      <c r="F21" s="49">
        <v>0</v>
      </c>
      <c r="G21" s="50">
        <v>0</v>
      </c>
      <c r="H21" s="51">
        <v>0</v>
      </c>
      <c r="I21" s="52">
        <v>0</v>
      </c>
      <c r="J21" s="46">
        <v>20</v>
      </c>
      <c r="K21" s="46">
        <v>0</v>
      </c>
      <c r="L21" s="46">
        <v>0</v>
      </c>
      <c r="M21" s="46">
        <v>0</v>
      </c>
      <c r="N21" s="53"/>
      <c r="O21" s="58">
        <f t="shared" ref="O21:O26" si="2">IF(B21="","",IF((E21+F21)-C21&gt;=0,"OK",(E21+F21)-C21))</f>
        <v>-33</v>
      </c>
      <c r="P21" s="55"/>
    </row>
    <row r="22" spans="1:16" ht="21.75" customHeight="1" x14ac:dyDescent="0.3">
      <c r="A22" s="56" t="str">
        <f>IF(B22="","",VLOOKUP(B22,Lists!$A:$B,2,FALSE()))</f>
        <v>HWDP</v>
      </c>
      <c r="B22" s="45" t="s">
        <v>32</v>
      </c>
      <c r="C22" s="46">
        <v>43</v>
      </c>
      <c r="D22" s="57">
        <f>IF(B22="",0,E22+F22+G22+H22)</f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>
        <f t="shared" si="2"/>
        <v>-43</v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36</v>
      </c>
      <c r="C28" s="46">
        <v>0</v>
      </c>
      <c r="D28" s="60">
        <f>IF(B28="",0,E28+F28+G28+H28)</f>
        <v>3</v>
      </c>
      <c r="E28" s="48">
        <v>3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3">IF(B28="","",IF((E28+F28)-C28&gt;=0,"OK",(E28+F28)-C28))</f>
        <v>OK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37</v>
      </c>
      <c r="C29" s="46">
        <v>30</v>
      </c>
      <c r="D29" s="60">
        <f>IF(B29="",0,E29+F29+G29+H29)</f>
        <v>15</v>
      </c>
      <c r="E29" s="48">
        <v>15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>
        <f t="shared" si="3"/>
        <v>-15</v>
      </c>
      <c r="P29" s="55" t="s">
        <v>219</v>
      </c>
    </row>
    <row r="30" spans="1:16" ht="21.75" customHeight="1" x14ac:dyDescent="0.3">
      <c r="A30" s="59" t="str">
        <f>IF(B30="","",VLOOKUP(B30,Lists!$A:$B,2,FALSE()))</f>
        <v>DRILL COLLAR</v>
      </c>
      <c r="B30" s="45" t="s">
        <v>40</v>
      </c>
      <c r="C30" s="46">
        <v>0</v>
      </c>
      <c r="D30" s="60">
        <v>18</v>
      </c>
      <c r="E30" s="48">
        <v>11</v>
      </c>
      <c r="F30" s="49">
        <v>0</v>
      </c>
      <c r="G30" s="50">
        <v>0</v>
      </c>
      <c r="H30" s="51">
        <v>0</v>
      </c>
      <c r="I30" s="52">
        <v>0</v>
      </c>
      <c r="J30" s="46">
        <v>7</v>
      </c>
      <c r="K30" s="46">
        <v>0</v>
      </c>
      <c r="L30" s="46">
        <v>0</v>
      </c>
      <c r="M30" s="46">
        <v>0</v>
      </c>
      <c r="N30" s="53"/>
      <c r="O30" s="61" t="str">
        <f t="shared" si="3"/>
        <v>OK</v>
      </c>
      <c r="P30" s="55"/>
    </row>
    <row r="31" spans="1:16" ht="21.75" customHeight="1" x14ac:dyDescent="0.3">
      <c r="A31" s="59" t="str">
        <f>IF(B31="","",VLOOKUP(B31,Lists!$A:$B,2,FALSE()))</f>
        <v>DRILL COLLAR</v>
      </c>
      <c r="B31" s="45" t="s">
        <v>41</v>
      </c>
      <c r="C31" s="46">
        <v>0</v>
      </c>
      <c r="D31" s="60">
        <f>IF(B31="",0,E31+F31+G31+H31)</f>
        <v>7</v>
      </c>
      <c r="E31" s="48">
        <v>7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3"/>
        <v>OK</v>
      </c>
      <c r="P31" s="55"/>
    </row>
    <row r="32" spans="1:16" ht="21.75" customHeight="1" x14ac:dyDescent="0.3">
      <c r="A32" s="59" t="str">
        <f>IF(B32="","",VLOOKUP(B32,Lists!$A:$B,2,FALSE()))</f>
        <v>DRILL COLLAR</v>
      </c>
      <c r="B32" s="45" t="s">
        <v>43</v>
      </c>
      <c r="C32" s="46">
        <v>20</v>
      </c>
      <c r="D32" s="60">
        <f>IF(B32="",0,E32+F32+G32+H32)</f>
        <v>18</v>
      </c>
      <c r="E32" s="48">
        <v>18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>
        <f t="shared" si="3"/>
        <v>-2</v>
      </c>
      <c r="P32" s="55" t="s">
        <v>219</v>
      </c>
    </row>
    <row r="33" spans="1:16" ht="21.75" customHeight="1" x14ac:dyDescent="0.3">
      <c r="A33" s="59" t="str">
        <f>IF(B33="","",VLOOKUP(B33,Lists!$A:$B,2,FALSE()))</f>
        <v>DRILL COLLAR</v>
      </c>
      <c r="B33" s="45" t="s">
        <v>39</v>
      </c>
      <c r="C33" s="46">
        <v>30</v>
      </c>
      <c r="D33" s="60">
        <f>IF(B33="",0,E33+F33+G33+H33)</f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>
        <f t="shared" si="3"/>
        <v>-30</v>
      </c>
      <c r="P33" s="55" t="s">
        <v>219</v>
      </c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>IF(B34="",0,E34+F34+G34+H34)</f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>IF(B35="",0,E35+F35+G35+H35)</f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2</v>
      </c>
      <c r="D37" s="63">
        <f t="shared" ref="D37:D49" si="4">IF(B37="",0,E37+F37+G37+H37)</f>
        <v>0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>
        <f t="shared" ref="O37:O49" si="5">IF(B37="","",IF((E37+F37)-C37&gt;=0,"OK",(E37+F37)-C37))</f>
        <v>-2</v>
      </c>
      <c r="P37" s="55" t="s">
        <v>220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54</v>
      </c>
      <c r="C38" s="46">
        <v>2</v>
      </c>
      <c r="D38" s="63">
        <f t="shared" si="4"/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>
        <f t="shared" si="5"/>
        <v>-2</v>
      </c>
      <c r="P38" s="55" t="s">
        <v>221</v>
      </c>
    </row>
    <row r="39" spans="1:16" ht="21.75" customHeight="1" x14ac:dyDescent="0.3">
      <c r="A39" s="62" t="str">
        <f>IF(B39="","",VLOOKUP(B39,Lists!$A:$B,2,FALSE()))</f>
        <v>PUP JOINT</v>
      </c>
      <c r="B39" s="45" t="s">
        <v>54</v>
      </c>
      <c r="C39" s="46">
        <v>2</v>
      </c>
      <c r="D39" s="63">
        <f t="shared" si="4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>
        <f t="shared" si="5"/>
        <v>-2</v>
      </c>
      <c r="P39" s="55" t="s">
        <v>222</v>
      </c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4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5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4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5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4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5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4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5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4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5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4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5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4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5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4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5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4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5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4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5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142" t="s">
        <v>224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selectLockedCell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57" priority="2" operator="lessThan">
      <formula>0</formula>
    </cfRule>
    <cfRule type="expression" dxfId="56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03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03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03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03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5"/>
  <sheetViews>
    <sheetView zoomScaleNormal="100" workbookViewId="0">
      <pane ySplit="5" topLeftCell="A6" activePane="bottomLeft" state="frozen"/>
      <selection pane="bottomLeft" activeCell="H12" sqref="H12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225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>
        <v>104</v>
      </c>
      <c r="C2" s="41" t="s">
        <v>205</v>
      </c>
      <c r="D2" s="105">
        <v>46173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24</v>
      </c>
      <c r="C7" s="46">
        <v>324</v>
      </c>
      <c r="D7" s="47">
        <f t="shared" ref="D7:D19" si="0">IF(B7="",0,E7+F7+G7+H7)</f>
        <v>0</v>
      </c>
      <c r="E7" s="48">
        <v>0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>
        <f t="shared" ref="O7:O19" si="1">IF(B7="","",IF((E7+F7)-C7&gt;=0,"OK",(E7+F7)-C7))</f>
        <v>-324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18</v>
      </c>
      <c r="C8" s="46">
        <v>324</v>
      </c>
      <c r="D8" s="47">
        <f t="shared" si="0"/>
        <v>0</v>
      </c>
      <c r="E8" s="48">
        <v>0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>
        <f t="shared" si="1"/>
        <v>-324</v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si="0"/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1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0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1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0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1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0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1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0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1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0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1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0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1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0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1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0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1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0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1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0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1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32</v>
      </c>
      <c r="C21" s="46">
        <v>43</v>
      </c>
      <c r="D21" s="57">
        <f t="shared" ref="D21:D26" si="2">IF(B21="",0,E21+F21+G21+H21)</f>
        <v>0</v>
      </c>
      <c r="E21" s="48">
        <v>0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>
        <f t="shared" ref="O21:O26" si="3">IF(B21="","",IF((E21+F21)-C21&gt;=0,"OK",(E21+F21)-C21))</f>
        <v>-43</v>
      </c>
      <c r="P21" s="55"/>
    </row>
    <row r="22" spans="1:16" ht="21.75" customHeight="1" x14ac:dyDescent="0.3">
      <c r="A22" s="56" t="str">
        <f>IF(B22="","",VLOOKUP(B22,Lists!$A:$B,2,FALSE()))</f>
        <v>HWDP</v>
      </c>
      <c r="B22" s="45" t="s">
        <v>31</v>
      </c>
      <c r="C22" s="46">
        <v>43</v>
      </c>
      <c r="D22" s="57">
        <f t="shared" si="2"/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>
        <f t="shared" si="3"/>
        <v>-43</v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 t="shared" si="2"/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3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 t="shared" si="2"/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3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 t="shared" si="2"/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3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 t="shared" si="2"/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3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38</v>
      </c>
      <c r="C28" s="46">
        <v>30</v>
      </c>
      <c r="D28" s="60">
        <f t="shared" ref="D28:D35" si="4">IF(B28="",0,E28+F28+G28+H28)</f>
        <v>0</v>
      </c>
      <c r="E28" s="48">
        <v>0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>
        <f t="shared" ref="O28:O35" si="5">IF(B28="","",IF((E28+F28)-C28&gt;=0,"OK",(E28+F28)-C28))</f>
        <v>-30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39</v>
      </c>
      <c r="C29" s="46">
        <v>30</v>
      </c>
      <c r="D29" s="60">
        <f t="shared" si="4"/>
        <v>0</v>
      </c>
      <c r="E29" s="48">
        <v>0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>
        <f t="shared" si="5"/>
        <v>-30</v>
      </c>
      <c r="P29" s="55"/>
    </row>
    <row r="30" spans="1:16" ht="21.75" customHeight="1" x14ac:dyDescent="0.3">
      <c r="A30" s="59" t="str">
        <f>IF(B30="","",VLOOKUP(B30,Lists!$A:$B,2,FALSE()))</f>
        <v>DRILL COLLAR</v>
      </c>
      <c r="B30" s="45" t="s">
        <v>43</v>
      </c>
      <c r="C30" s="46">
        <v>20</v>
      </c>
      <c r="D30" s="60">
        <f t="shared" si="4"/>
        <v>0</v>
      </c>
      <c r="E30" s="48">
        <v>0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>
        <f t="shared" si="5"/>
        <v>-20</v>
      </c>
      <c r="P30" s="55"/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 t="shared" si="4"/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5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4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5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4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5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4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5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4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5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2</v>
      </c>
      <c r="D37" s="63">
        <f t="shared" ref="D37:D49" si="6">IF(B37="",0,E37+F37+G37+H37)</f>
        <v>0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>
        <f t="shared" ref="O37:O49" si="7">IF(B37="","",IF((E37+F37)-C37&gt;=0,"OK",(E37+F37)-C37))</f>
        <v>-2</v>
      </c>
      <c r="P37" s="55" t="s">
        <v>220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54</v>
      </c>
      <c r="C38" s="46">
        <v>2</v>
      </c>
      <c r="D38" s="63">
        <f t="shared" si="6"/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>
        <f t="shared" si="7"/>
        <v>-2</v>
      </c>
      <c r="P38" s="55" t="s">
        <v>221</v>
      </c>
    </row>
    <row r="39" spans="1:16" ht="21.75" customHeight="1" x14ac:dyDescent="0.3">
      <c r="A39" s="62" t="str">
        <f>IF(B39="","",VLOOKUP(B39,Lists!$A:$B,2,FALSE()))</f>
        <v>PUP JOINT</v>
      </c>
      <c r="B39" s="45" t="s">
        <v>54</v>
      </c>
      <c r="C39" s="46">
        <v>2</v>
      </c>
      <c r="D39" s="63">
        <f t="shared" si="6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>
        <f t="shared" si="7"/>
        <v>-2</v>
      </c>
      <c r="P39" s="55" t="s">
        <v>222</v>
      </c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6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7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6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7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6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7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6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7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6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7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6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7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6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7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6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7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6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7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6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7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144" t="s">
        <v>224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0rJ3dM7HtN/7z3pFVbv/+zmkJ2fLRVt8t3ACucz0fOGM/bDS/yOfmfWGdWrtoT1JVc4ZJPlYEFlu3X6MWqfuzg==" saltValue="rR4PtX203LIXJdkS3EgdcQ==" spinCount="100000" sheet="1" objects="1" scenarios="1" selectLockedCells="1"/>
  <protectedRanges>
    <protectedRange sqref="B1:B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55" priority="2" operator="lessThan">
      <formula>0</formula>
    </cfRule>
    <cfRule type="expression" dxfId="54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04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04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04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04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5"/>
  <sheetViews>
    <sheetView zoomScaleNormal="100" workbookViewId="0">
      <pane ySplit="5" topLeftCell="A6" activePane="bottomLeft" state="frozen"/>
      <selection pane="bottomLeft" activeCell="Y11" sqref="Y11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226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227</v>
      </c>
      <c r="C2" s="41" t="s">
        <v>205</v>
      </c>
      <c r="D2" s="105">
        <v>46152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20</v>
      </c>
      <c r="C7" s="46">
        <v>222</v>
      </c>
      <c r="D7" s="47">
        <v>328</v>
      </c>
      <c r="E7" s="48">
        <v>125</v>
      </c>
      <c r="F7" s="49">
        <v>0</v>
      </c>
      <c r="G7" s="50">
        <v>0</v>
      </c>
      <c r="H7" s="51">
        <v>13</v>
      </c>
      <c r="I7" s="52">
        <v>0</v>
      </c>
      <c r="J7" s="46">
        <v>69</v>
      </c>
      <c r="K7" s="46">
        <v>0</v>
      </c>
      <c r="L7" s="46">
        <v>0</v>
      </c>
      <c r="M7" s="46">
        <v>0</v>
      </c>
      <c r="N7" s="53"/>
      <c r="O7" s="54">
        <f t="shared" ref="O7:O19" si="0">IF(B7="","",IF((E7+F7)-C7&gt;=0,"OK",(E7+F7)-C7))</f>
        <v>-97</v>
      </c>
      <c r="P7" s="55"/>
    </row>
    <row r="8" spans="1:16" ht="21.75" customHeight="1" x14ac:dyDescent="0.3">
      <c r="A8" s="44" t="str">
        <f>IF(B8="","",VLOOKUP(B8,Lists!$A:$B,2,FALSE()))</f>
        <v/>
      </c>
      <c r="B8" s="45"/>
      <c r="C8" s="46">
        <v>0</v>
      </c>
      <c r="D8" s="47">
        <f t="shared" ref="D8:D19" si="1">IF(B8="",0,E8+F8+G8+H8)</f>
        <v>0</v>
      </c>
      <c r="E8" s="48">
        <v>0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 t="str">
        <f t="shared" si="0"/>
        <v/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si="1"/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0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31</v>
      </c>
      <c r="C21" s="46">
        <v>39</v>
      </c>
      <c r="D21" s="57">
        <v>73</v>
      </c>
      <c r="E21" s="48">
        <v>54</v>
      </c>
      <c r="F21" s="49">
        <v>0</v>
      </c>
      <c r="G21" s="50">
        <v>0</v>
      </c>
      <c r="H21" s="51">
        <v>0</v>
      </c>
      <c r="I21" s="52">
        <v>0</v>
      </c>
      <c r="J21" s="46">
        <v>19</v>
      </c>
      <c r="K21" s="46">
        <v>0</v>
      </c>
      <c r="L21" s="46">
        <v>0</v>
      </c>
      <c r="M21" s="46">
        <v>0</v>
      </c>
      <c r="N21" s="53"/>
      <c r="O21" s="58" t="str">
        <f t="shared" ref="O21:O26" si="2">IF(B21="","",IF((E21+F21)-C21&gt;=0,"OK",(E21+F21)-C21))</f>
        <v>OK</v>
      </c>
      <c r="P21" s="55"/>
    </row>
    <row r="22" spans="1:16" ht="21.75" customHeight="1" x14ac:dyDescent="0.3">
      <c r="A22" s="56" t="str">
        <f>IF(B22="","",VLOOKUP(B22,Lists!$A:$B,2,FALSE()))</f>
        <v/>
      </c>
      <c r="B22" s="45"/>
      <c r="C22" s="46">
        <v>0</v>
      </c>
      <c r="D22" s="57">
        <f>IF(B22="",0,E22+F22+G22+H22)</f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2"/>
        <v/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37</v>
      </c>
      <c r="C28" s="46">
        <v>10</v>
      </c>
      <c r="D28" s="60">
        <f>IF(B28="",0,E28+F28+G28+H28)</f>
        <v>6</v>
      </c>
      <c r="E28" s="48">
        <v>6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>
        <f t="shared" ref="O28:O35" si="3">IF(B28="","",IF((E28+F28)-C28&gt;=0,"OK",(E28+F28)-C28))</f>
        <v>-4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42</v>
      </c>
      <c r="C29" s="46">
        <v>19</v>
      </c>
      <c r="D29" s="60">
        <v>22</v>
      </c>
      <c r="E29" s="48">
        <v>7</v>
      </c>
      <c r="F29" s="49">
        <v>0</v>
      </c>
      <c r="G29" s="50">
        <v>0</v>
      </c>
      <c r="H29" s="51">
        <v>0</v>
      </c>
      <c r="I29" s="52">
        <v>0</v>
      </c>
      <c r="J29" s="46">
        <v>15</v>
      </c>
      <c r="K29" s="46">
        <v>0</v>
      </c>
      <c r="L29" s="46">
        <v>0</v>
      </c>
      <c r="M29" s="46">
        <v>0</v>
      </c>
      <c r="N29" s="53"/>
      <c r="O29" s="61">
        <f t="shared" si="3"/>
        <v>-12</v>
      </c>
      <c r="P29" s="55"/>
    </row>
    <row r="30" spans="1:16" ht="21.75" customHeight="1" x14ac:dyDescent="0.3">
      <c r="A30" s="59" t="str">
        <f>IF(B30="","",VLOOKUP(B30,Lists!$A:$B,2,FALSE()))</f>
        <v>DRILL COLLAR</v>
      </c>
      <c r="B30" s="45" t="s">
        <v>41</v>
      </c>
      <c r="C30" s="46">
        <v>9</v>
      </c>
      <c r="D30" s="60">
        <v>9</v>
      </c>
      <c r="E30" s="48">
        <v>7</v>
      </c>
      <c r="F30" s="49">
        <v>0</v>
      </c>
      <c r="G30" s="50">
        <v>0</v>
      </c>
      <c r="H30" s="51">
        <v>0</v>
      </c>
      <c r="I30" s="52">
        <v>0</v>
      </c>
      <c r="J30" s="46">
        <v>2</v>
      </c>
      <c r="K30" s="46">
        <v>0</v>
      </c>
      <c r="L30" s="46">
        <v>0</v>
      </c>
      <c r="M30" s="46">
        <v>0</v>
      </c>
      <c r="N30" s="53"/>
      <c r="O30" s="61">
        <f t="shared" si="3"/>
        <v>-2</v>
      </c>
      <c r="P30" s="55"/>
    </row>
    <row r="31" spans="1:16" ht="21.75" customHeight="1" x14ac:dyDescent="0.3">
      <c r="A31" s="59" t="str">
        <f>IF(B31="","",VLOOKUP(B31,Lists!$A:$B,2,FALSE()))</f>
        <v>DRILL COLLAR</v>
      </c>
      <c r="B31" s="45" t="s">
        <v>43</v>
      </c>
      <c r="C31" s="46">
        <v>20</v>
      </c>
      <c r="D31" s="60">
        <v>22</v>
      </c>
      <c r="E31" s="48">
        <v>8</v>
      </c>
      <c r="F31" s="49">
        <v>0</v>
      </c>
      <c r="G31" s="50">
        <v>0</v>
      </c>
      <c r="H31" s="51">
        <v>0</v>
      </c>
      <c r="I31" s="52">
        <v>0</v>
      </c>
      <c r="J31" s="46">
        <v>14</v>
      </c>
      <c r="K31" s="46">
        <v>0</v>
      </c>
      <c r="L31" s="46">
        <v>0</v>
      </c>
      <c r="M31" s="46">
        <v>0</v>
      </c>
      <c r="N31" s="53"/>
      <c r="O31" s="61">
        <f t="shared" si="3"/>
        <v>-12</v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>IF(B32="",0,E32+F32+G32+H32)</f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3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>IF(B33="",0,E33+F33+G33+H33)</f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3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>IF(B34="",0,E34+F34+G34+H34)</f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>IF(B35="",0,E35+F35+G35+H35)</f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/>
      </c>
      <c r="B37" s="45"/>
      <c r="C37" s="46">
        <v>0</v>
      </c>
      <c r="D37" s="63">
        <f t="shared" ref="D37:D49" si="4">IF(B37="",0,E37+F37+G37+H37)</f>
        <v>0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5">IF(B37="","",IF((E37+F37)-C37&gt;=0,"OK",(E37+F37)-C37))</f>
        <v/>
      </c>
      <c r="P37" s="55"/>
    </row>
    <row r="38" spans="1:16" ht="21.75" customHeight="1" x14ac:dyDescent="0.3">
      <c r="A38" s="62" t="str">
        <f>IF(B38="","",VLOOKUP(B38,Lists!$A:$B,2,FALSE()))</f>
        <v/>
      </c>
      <c r="B38" s="45"/>
      <c r="C38" s="46">
        <v>0</v>
      </c>
      <c r="D38" s="63">
        <f t="shared" si="4"/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5"/>
        <v/>
      </c>
      <c r="P38" s="55"/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si="4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5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4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5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4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5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4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5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4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5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4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5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4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5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4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5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4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5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4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5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4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5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55D8Khuy+vN6RN96tC/Py/dwmPBCT8ZajLg4i2G9sDpvV1QxeeheRvpQg+q7niyo0tMJqgsA/froB+UL+7TTjQ==" saltValue="c4mrGxHmQ/WYT7H685qE9g==" spinCount="100000" sheet="1" objects="1" scenarios="1"/>
  <protectedRanges>
    <protectedRange sqref="B1:B1048576 B2 D2:E2 G2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53" priority="2" operator="lessThan">
      <formula>0</formula>
    </cfRule>
    <cfRule type="expression" dxfId="52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05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05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05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05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5"/>
  <sheetViews>
    <sheetView zoomScaleNormal="100" workbookViewId="0">
      <pane ySplit="5" topLeftCell="A6" activePane="bottomLeft" state="frozen"/>
      <selection pane="bottomLeft" activeCell="R16" sqref="R16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228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229</v>
      </c>
      <c r="C2" s="41" t="s">
        <v>205</v>
      </c>
      <c r="D2" s="105">
        <v>46164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24</v>
      </c>
      <c r="C7" s="46">
        <v>208</v>
      </c>
      <c r="D7" s="47">
        <f>IF(B7="",0,E7+F7+G7+H7)</f>
        <v>229</v>
      </c>
      <c r="E7" s="48">
        <v>229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0</v>
      </c>
      <c r="L7" s="46">
        <v>70</v>
      </c>
      <c r="M7" s="46">
        <v>0</v>
      </c>
      <c r="N7" s="53"/>
      <c r="O7" s="54" t="str">
        <f t="shared" ref="O7:O19" si="0">IF(B7="","",IF((E7+F7)-C7&gt;=0,"OK",(E7+F7)-C7))</f>
        <v>OK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20</v>
      </c>
      <c r="C8" s="46">
        <v>208</v>
      </c>
      <c r="D8" s="47">
        <v>331</v>
      </c>
      <c r="E8" s="48">
        <v>229</v>
      </c>
      <c r="F8" s="49">
        <v>0</v>
      </c>
      <c r="G8" s="50">
        <v>0</v>
      </c>
      <c r="H8" s="51">
        <v>24</v>
      </c>
      <c r="I8" s="52">
        <v>0</v>
      </c>
      <c r="J8" s="46">
        <v>0</v>
      </c>
      <c r="K8" s="46">
        <v>0</v>
      </c>
      <c r="L8" s="46">
        <v>0</v>
      </c>
      <c r="M8" s="46">
        <v>20</v>
      </c>
      <c r="N8" s="53"/>
      <c r="O8" s="54" t="str">
        <f t="shared" si="0"/>
        <v>OK</v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ref="D9:D19" si="1">IF(B9="",0,E9+F9+G9+H9)</f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0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32</v>
      </c>
      <c r="C21" s="46">
        <v>42</v>
      </c>
      <c r="D21" s="57">
        <v>47</v>
      </c>
      <c r="E21" s="48">
        <v>36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>
        <f t="shared" ref="O21:O26" si="2">IF(B21="","",IF((E21+F21)-C21&gt;=0,"OK",(E21+F21)-C21))</f>
        <v>-6</v>
      </c>
      <c r="P21" s="55"/>
    </row>
    <row r="22" spans="1:16" ht="21.75" customHeight="1" x14ac:dyDescent="0.3">
      <c r="A22" s="56" t="str">
        <f>IF(B22="","",VLOOKUP(B22,Lists!$A:$B,2,FALSE()))</f>
        <v>HWDP</v>
      </c>
      <c r="B22" s="45" t="s">
        <v>31</v>
      </c>
      <c r="C22" s="46">
        <v>42</v>
      </c>
      <c r="D22" s="57">
        <v>42</v>
      </c>
      <c r="E22" s="48">
        <v>34</v>
      </c>
      <c r="F22" s="49">
        <v>0</v>
      </c>
      <c r="G22" s="50">
        <v>0</v>
      </c>
      <c r="H22" s="51">
        <v>2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>
        <f t="shared" si="2"/>
        <v>-8</v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38</v>
      </c>
      <c r="C28" s="46">
        <v>30</v>
      </c>
      <c r="D28" s="60">
        <v>25</v>
      </c>
      <c r="E28" s="48">
        <v>11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3</v>
      </c>
      <c r="M28" s="46">
        <v>0</v>
      </c>
      <c r="N28" s="53"/>
      <c r="O28" s="61">
        <f t="shared" ref="O28:O35" si="3">IF(B28="","",IF((E28+F28)-C28&gt;=0,"OK",(E28+F28)-C28))</f>
        <v>-19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39</v>
      </c>
      <c r="C29" s="46">
        <v>30</v>
      </c>
      <c r="D29" s="60">
        <v>25</v>
      </c>
      <c r="E29" s="48">
        <v>24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>
        <f t="shared" si="3"/>
        <v>-6</v>
      </c>
      <c r="P29" s="55"/>
    </row>
    <row r="30" spans="1:16" ht="21.75" customHeight="1" x14ac:dyDescent="0.3">
      <c r="A30" s="59" t="str">
        <f>IF(B30="","",VLOOKUP(B30,Lists!$A:$B,2,FALSE()))</f>
        <v>DRILL COLLAR</v>
      </c>
      <c r="B30" s="45" t="s">
        <v>43</v>
      </c>
      <c r="C30" s="46">
        <v>20</v>
      </c>
      <c r="D30" s="60">
        <v>20</v>
      </c>
      <c r="E30" s="48">
        <v>18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>
        <f t="shared" si="3"/>
        <v>-2</v>
      </c>
      <c r="P30" s="55"/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>IF(B31="",0,E31+F31+G31+H31)</f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3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>IF(B32="",0,E32+F32+G32+H32)</f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3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>IF(B33="",0,E33+F33+G33+H33)</f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3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>IF(B34="",0,E34+F34+G34+H34)</f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>IF(B35="",0,E35+F35+G35+H35)</f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2</v>
      </c>
      <c r="D37" s="63">
        <f t="shared" ref="D37:D49" si="4">IF(B37="",0,E37+F37+G37+H37)</f>
        <v>1</v>
      </c>
      <c r="E37" s="48">
        <v>1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>
        <f t="shared" ref="O37:O49" si="5">IF(B37="","",IF((E37+F37)-C37&gt;=0,"OK",(E37+F37)-C37))</f>
        <v>-1</v>
      </c>
      <c r="P37" s="55" t="s">
        <v>230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54</v>
      </c>
      <c r="C38" s="46">
        <v>0</v>
      </c>
      <c r="D38" s="63">
        <f t="shared" si="4"/>
        <v>1</v>
      </c>
      <c r="E38" s="48">
        <v>1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5"/>
        <v>OK</v>
      </c>
      <c r="P38" s="55" t="s">
        <v>231</v>
      </c>
    </row>
    <row r="39" spans="1:16" ht="21.75" customHeight="1" x14ac:dyDescent="0.3">
      <c r="A39" s="62" t="str">
        <f>IF(B39="","",VLOOKUP(B39,Lists!$A:$B,2,FALSE()))</f>
        <v>PUP JOINT</v>
      </c>
      <c r="B39" s="45" t="s">
        <v>54</v>
      </c>
      <c r="C39" s="46">
        <v>2</v>
      </c>
      <c r="D39" s="63">
        <f t="shared" si="4"/>
        <v>2</v>
      </c>
      <c r="E39" s="48">
        <v>2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5"/>
        <v>OK</v>
      </c>
      <c r="P39" s="55" t="s">
        <v>232</v>
      </c>
    </row>
    <row r="40" spans="1:16" ht="21.75" customHeight="1" x14ac:dyDescent="0.3">
      <c r="A40" s="62" t="str">
        <f>IF(B40="","",VLOOKUP(B40,Lists!$A:$B,2,FALSE()))</f>
        <v>PUP JOINT</v>
      </c>
      <c r="B40" s="45" t="s">
        <v>54</v>
      </c>
      <c r="C40" s="46">
        <v>2</v>
      </c>
      <c r="D40" s="63">
        <f t="shared" si="4"/>
        <v>4</v>
      </c>
      <c r="E40" s="48">
        <v>4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5"/>
        <v>OK</v>
      </c>
      <c r="P40" s="55" t="s">
        <v>233</v>
      </c>
    </row>
    <row r="41" spans="1:16" ht="21.75" customHeight="1" x14ac:dyDescent="0.3">
      <c r="A41" s="62" t="str">
        <f>IF(B41="","",VLOOKUP(B41,Lists!$A:$B,2,FALSE()))</f>
        <v>PUP JOINT</v>
      </c>
      <c r="B41" s="45" t="s">
        <v>50</v>
      </c>
      <c r="C41" s="46">
        <v>0</v>
      </c>
      <c r="D41" s="63">
        <f t="shared" si="4"/>
        <v>2</v>
      </c>
      <c r="E41" s="48">
        <v>2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5"/>
        <v>OK</v>
      </c>
      <c r="P41" s="55" t="s">
        <v>234</v>
      </c>
    </row>
    <row r="42" spans="1:16" ht="21.75" customHeight="1" x14ac:dyDescent="0.3">
      <c r="A42" s="62" t="str">
        <f>IF(B42="","",VLOOKUP(B42,Lists!$A:$B,2,FALSE()))</f>
        <v>PUP JOINT</v>
      </c>
      <c r="B42" s="45" t="s">
        <v>52</v>
      </c>
      <c r="C42" s="46">
        <v>0</v>
      </c>
      <c r="D42" s="63">
        <f t="shared" si="4"/>
        <v>4</v>
      </c>
      <c r="E42" s="48">
        <v>4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5"/>
        <v>OK</v>
      </c>
      <c r="P42" s="55" t="s">
        <v>235</v>
      </c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4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5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4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5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4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5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4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5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4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5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4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5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4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5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FHeBMTN5nwdtKIEFUOLfK5yOvLojJiMF/H+heTkyz18obiiohVik9X5/8O0H0QxkIFPV2iyuo+KKmFwwi62AQA==" saltValue="dMrxiOUsZtuOHA0FD2KEEQ==" spinCount="100000" sheet="1" objects="1" scenarios="1"/>
  <protectedRanges>
    <protectedRange sqref="A1:A1048576 B1:B1048576 B2 D2:E2 G2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51" priority="2" operator="lessThan">
      <formula>0</formula>
    </cfRule>
    <cfRule type="expression" dxfId="50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06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06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06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06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5"/>
  <sheetViews>
    <sheetView zoomScaleNormal="100" workbookViewId="0">
      <pane ySplit="5" topLeftCell="A6" activePane="bottomLeft" state="frozen"/>
      <selection pane="bottomLeft" activeCell="O9" sqref="O9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236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>
        <v>107</v>
      </c>
      <c r="C2" s="41" t="s">
        <v>205</v>
      </c>
      <c r="D2" s="105">
        <v>46163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24</v>
      </c>
      <c r="C7" s="46">
        <v>313</v>
      </c>
      <c r="D7" s="47">
        <f>IF(B7="",0,E7+F7+G7+H7)</f>
        <v>210</v>
      </c>
      <c r="E7" s="48">
        <v>210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80</v>
      </c>
      <c r="L7" s="46">
        <v>0</v>
      </c>
      <c r="M7" s="46">
        <v>0</v>
      </c>
      <c r="N7" s="53"/>
      <c r="O7" s="54">
        <f t="shared" ref="O7:O19" si="0">IF(B7="","",IF((E7+F7)-C7&gt;=0,"OK",(E7+F7)-C7))</f>
        <v>-103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20</v>
      </c>
      <c r="C8" s="46">
        <v>313</v>
      </c>
      <c r="D8" s="47">
        <v>331</v>
      </c>
      <c r="E8" s="48">
        <v>298</v>
      </c>
      <c r="F8" s="49">
        <v>0</v>
      </c>
      <c r="G8" s="50">
        <v>0</v>
      </c>
      <c r="H8" s="51">
        <v>13</v>
      </c>
      <c r="I8" s="52">
        <v>0</v>
      </c>
      <c r="J8" s="46">
        <v>0</v>
      </c>
      <c r="K8" s="46">
        <v>0</v>
      </c>
      <c r="L8" s="46">
        <v>20</v>
      </c>
      <c r="M8" s="46">
        <v>0</v>
      </c>
      <c r="N8" s="53"/>
      <c r="O8" s="54">
        <f t="shared" si="0"/>
        <v>-15</v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ref="D9:D19" si="1">IF(B9="",0,E9+F9+G9+H9)</f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0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32</v>
      </c>
      <c r="C21" s="46">
        <v>42</v>
      </c>
      <c r="D21" s="57">
        <f t="shared" ref="D21:D26" si="2">IF(B21="",0,E21+F21+G21+H21)</f>
        <v>47</v>
      </c>
      <c r="E21" s="48">
        <v>47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 t="str">
        <f t="shared" ref="O21:O26" si="3">IF(B21="","",IF((E21+F21)-C21&gt;=0,"OK",(E21+F21)-C21))</f>
        <v>OK</v>
      </c>
      <c r="P21" s="55" t="s">
        <v>237</v>
      </c>
    </row>
    <row r="22" spans="1:16" ht="21.75" customHeight="1" x14ac:dyDescent="0.3">
      <c r="A22" s="56" t="str">
        <f>IF(B22="","",VLOOKUP(B22,Lists!$A:$B,2,FALSE()))</f>
        <v>HWDP</v>
      </c>
      <c r="B22" s="45" t="s">
        <v>31</v>
      </c>
      <c r="C22" s="46">
        <v>42</v>
      </c>
      <c r="D22" s="57">
        <f t="shared" si="2"/>
        <v>42</v>
      </c>
      <c r="E22" s="48">
        <v>42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3"/>
        <v>OK</v>
      </c>
      <c r="P22" s="55" t="s">
        <v>238</v>
      </c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 t="shared" si="2"/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3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 t="shared" si="2"/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3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 t="shared" si="2"/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3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 t="shared" si="2"/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3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38</v>
      </c>
      <c r="C28" s="46">
        <v>30</v>
      </c>
      <c r="D28" s="60">
        <v>25</v>
      </c>
      <c r="E28" s="48">
        <v>21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5</v>
      </c>
      <c r="M28" s="46">
        <v>0</v>
      </c>
      <c r="N28" s="53"/>
      <c r="O28" s="61">
        <f t="shared" ref="O28:O35" si="4">IF(B28="","",IF((E28+F28)-C28&gt;=0,"OK",(E28+F28)-C28))</f>
        <v>-9</v>
      </c>
      <c r="P28" s="55" t="s">
        <v>239</v>
      </c>
    </row>
    <row r="29" spans="1:16" ht="21.75" customHeight="1" x14ac:dyDescent="0.3">
      <c r="A29" s="59" t="str">
        <f>IF(B29="","",VLOOKUP(B29,Lists!$A:$B,2,FALSE()))</f>
        <v>DRILL COLLAR</v>
      </c>
      <c r="B29" s="45" t="s">
        <v>39</v>
      </c>
      <c r="C29" s="46">
        <v>30</v>
      </c>
      <c r="D29" s="60">
        <v>25</v>
      </c>
      <c r="E29" s="48">
        <v>20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5</v>
      </c>
      <c r="M29" s="46">
        <v>0</v>
      </c>
      <c r="N29" s="53"/>
      <c r="O29" s="61">
        <f t="shared" si="4"/>
        <v>-10</v>
      </c>
      <c r="P29" s="55" t="s">
        <v>240</v>
      </c>
    </row>
    <row r="30" spans="1:16" ht="21.75" customHeight="1" x14ac:dyDescent="0.3">
      <c r="A30" s="59" t="str">
        <f>IF(B30="","",VLOOKUP(B30,Lists!$A:$B,2,FALSE()))</f>
        <v>DRILL COLLAR</v>
      </c>
      <c r="B30" s="45" t="s">
        <v>43</v>
      </c>
      <c r="C30" s="46">
        <v>20</v>
      </c>
      <c r="D30" s="60">
        <f t="shared" ref="D30:D35" si="5">IF(B30="",0,E30+F30+G30+H30)</f>
        <v>20</v>
      </c>
      <c r="E30" s="48">
        <v>20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 t="str">
        <f t="shared" si="4"/>
        <v>OK</v>
      </c>
      <c r="P30" s="55"/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 t="shared" si="5"/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4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5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4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5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4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5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4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5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4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2</v>
      </c>
      <c r="D37" s="63">
        <f t="shared" ref="D37:D49" si="6">IF(B37="",0,E37+F37+G37+H37)</f>
        <v>1</v>
      </c>
      <c r="E37" s="48">
        <v>1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>
        <f t="shared" ref="O37:O49" si="7">IF(B37="","",IF((E37+F37)-C37&gt;=0,"OK",(E37+F37)-C37))</f>
        <v>-1</v>
      </c>
      <c r="P37" s="55" t="s">
        <v>230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54</v>
      </c>
      <c r="C38" s="46">
        <v>0</v>
      </c>
      <c r="D38" s="63">
        <f t="shared" si="6"/>
        <v>1</v>
      </c>
      <c r="E38" s="48">
        <v>1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7"/>
        <v>OK</v>
      </c>
      <c r="P38" s="55" t="s">
        <v>231</v>
      </c>
    </row>
    <row r="39" spans="1:16" ht="21.75" customHeight="1" x14ac:dyDescent="0.3">
      <c r="A39" s="62" t="str">
        <f>IF(B39="","",VLOOKUP(B39,Lists!$A:$B,2,FALSE()))</f>
        <v>PUP JOINT</v>
      </c>
      <c r="B39" s="45" t="s">
        <v>54</v>
      </c>
      <c r="C39" s="46">
        <v>2</v>
      </c>
      <c r="D39" s="63">
        <f t="shared" si="6"/>
        <v>2</v>
      </c>
      <c r="E39" s="48">
        <v>2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7"/>
        <v>OK</v>
      </c>
      <c r="P39" s="55" t="s">
        <v>232</v>
      </c>
    </row>
    <row r="40" spans="1:16" ht="21.75" customHeight="1" x14ac:dyDescent="0.3">
      <c r="A40" s="62" t="str">
        <f>IF(B40="","",VLOOKUP(B40,Lists!$A:$B,2,FALSE()))</f>
        <v>PUP JOINT</v>
      </c>
      <c r="B40" s="45" t="s">
        <v>54</v>
      </c>
      <c r="C40" s="46">
        <v>2</v>
      </c>
      <c r="D40" s="63">
        <f t="shared" si="6"/>
        <v>4</v>
      </c>
      <c r="E40" s="48">
        <v>4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7"/>
        <v>OK</v>
      </c>
      <c r="P40" s="55" t="s">
        <v>233</v>
      </c>
    </row>
    <row r="41" spans="1:16" ht="21.75" customHeight="1" x14ac:dyDescent="0.3">
      <c r="A41" s="62" t="str">
        <f>IF(B41="","",VLOOKUP(B41,Lists!$A:$B,2,FALSE()))</f>
        <v>PUP JOINT</v>
      </c>
      <c r="B41" s="45" t="s">
        <v>48</v>
      </c>
      <c r="C41" s="46">
        <v>0</v>
      </c>
      <c r="D41" s="63">
        <f t="shared" si="6"/>
        <v>2</v>
      </c>
      <c r="E41" s="48">
        <v>2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7"/>
        <v>OK</v>
      </c>
      <c r="P41" s="55" t="s">
        <v>234</v>
      </c>
    </row>
    <row r="42" spans="1:16" ht="21.75" customHeight="1" x14ac:dyDescent="0.3">
      <c r="A42" s="62" t="str">
        <f>IF(B42="","",VLOOKUP(B42,Lists!$A:$B,2,FALSE()))</f>
        <v>PUP JOINT</v>
      </c>
      <c r="B42" s="45" t="s">
        <v>48</v>
      </c>
      <c r="C42" s="46">
        <v>0</v>
      </c>
      <c r="D42" s="63">
        <f t="shared" si="6"/>
        <v>4</v>
      </c>
      <c r="E42" s="48">
        <v>4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7"/>
        <v>OK</v>
      </c>
      <c r="P42" s="55" t="s">
        <v>235</v>
      </c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6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7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6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7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6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7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6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7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6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7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6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7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6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7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BavEtgEXoaKkSV0phoOQnRfLask2Jx9sSI0CGLF1b1cAIW/vClxF92PsoXtBw/MpF6EgGnM0LK1DtFG8p6G+IA==" saltValue="QAIiFs0PFZPWzsZhFzes6Q==" spinCount="100000" sheet="1" objects="1" scenarios="1"/>
  <protectedRanges>
    <protectedRange sqref="A1:A1048576 B1:B1048576 B2 D2:E2 E1:E1048576 F1:F1048576 G1:G1048576 H1:H1048576 G2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49" priority="2" operator="lessThan">
      <formula>0</formula>
    </cfRule>
    <cfRule type="expression" dxfId="48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07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07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07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07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5"/>
  <sheetViews>
    <sheetView zoomScaleNormal="100" workbookViewId="0">
      <pane ySplit="5" topLeftCell="A6" activePane="bottomLeft" state="frozen"/>
      <selection pane="bottomLeft" activeCell="O9" sqref="O9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241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>
        <v>108</v>
      </c>
      <c r="C2" s="41" t="s">
        <v>205</v>
      </c>
      <c r="D2" s="143">
        <v>46091</v>
      </c>
      <c r="E2" s="143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20</v>
      </c>
      <c r="C7" s="46">
        <v>313</v>
      </c>
      <c r="D7" s="47">
        <v>130</v>
      </c>
      <c r="E7" s="48">
        <v>0</v>
      </c>
      <c r="F7" s="49">
        <v>0</v>
      </c>
      <c r="G7" s="50">
        <v>0</v>
      </c>
      <c r="H7" s="51">
        <v>8</v>
      </c>
      <c r="I7" s="52">
        <v>0</v>
      </c>
      <c r="J7" s="46">
        <v>107</v>
      </c>
      <c r="K7" s="46">
        <v>0</v>
      </c>
      <c r="L7" s="46">
        <v>0</v>
      </c>
      <c r="M7" s="46">
        <v>0</v>
      </c>
      <c r="N7" s="53"/>
      <c r="O7" s="54">
        <f t="shared" ref="O7:O19" si="0">IF(B7="","",IF((E7+F7)-C7&gt;=0,"OK",(E7+F7)-C7))</f>
        <v>-313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24</v>
      </c>
      <c r="C8" s="46">
        <v>313</v>
      </c>
      <c r="D8" s="47">
        <v>205</v>
      </c>
      <c r="E8" s="48">
        <v>0</v>
      </c>
      <c r="F8" s="49">
        <v>0</v>
      </c>
      <c r="G8" s="50">
        <v>0</v>
      </c>
      <c r="H8" s="51">
        <v>0</v>
      </c>
      <c r="I8" s="52">
        <v>0</v>
      </c>
      <c r="J8" s="46">
        <v>12</v>
      </c>
      <c r="K8" s="46">
        <v>0</v>
      </c>
      <c r="L8" s="46">
        <v>0</v>
      </c>
      <c r="M8" s="46">
        <v>0</v>
      </c>
      <c r="N8" s="53"/>
      <c r="O8" s="54">
        <f t="shared" si="0"/>
        <v>-313</v>
      </c>
      <c r="P8" s="55" t="s">
        <v>242</v>
      </c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ref="D9:D19" si="1">IF(B9="",0,E9+F9+G9+H9)</f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0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31</v>
      </c>
      <c r="C21" s="46">
        <v>42</v>
      </c>
      <c r="D21" s="57">
        <v>39</v>
      </c>
      <c r="E21" s="48">
        <v>0</v>
      </c>
      <c r="F21" s="49">
        <v>0</v>
      </c>
      <c r="G21" s="50">
        <v>0</v>
      </c>
      <c r="H21" s="51">
        <v>3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>
        <f t="shared" ref="O21:O26" si="2">IF(B21="","",IF((E21+F21)-C21&gt;=0,"OK",(E21+F21)-C21))</f>
        <v>-42</v>
      </c>
      <c r="P21" s="55"/>
    </row>
    <row r="22" spans="1:16" ht="21.75" customHeight="1" x14ac:dyDescent="0.3">
      <c r="A22" s="56" t="str">
        <f>IF(B22="","",VLOOKUP(B22,Lists!$A:$B,2,FALSE()))</f>
        <v>HWDP</v>
      </c>
      <c r="B22" s="45" t="s">
        <v>32</v>
      </c>
      <c r="C22" s="46">
        <v>42</v>
      </c>
      <c r="D22" s="57">
        <v>33</v>
      </c>
      <c r="E22" s="48">
        <v>0</v>
      </c>
      <c r="F22" s="49">
        <v>0</v>
      </c>
      <c r="G22" s="50">
        <v>0</v>
      </c>
      <c r="H22" s="51">
        <v>4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>
        <f t="shared" si="2"/>
        <v>-42</v>
      </c>
      <c r="P22" s="55" t="s">
        <v>243</v>
      </c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43</v>
      </c>
      <c r="C28" s="46">
        <v>20</v>
      </c>
      <c r="D28" s="60">
        <v>17</v>
      </c>
      <c r="E28" s="48">
        <v>0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3</v>
      </c>
      <c r="M28" s="46">
        <v>0</v>
      </c>
      <c r="N28" s="53"/>
      <c r="O28" s="61">
        <f t="shared" ref="O28:O35" si="3">IF(B28="","",IF((E28+F28)-C28&gt;=0,"OK",(E28+F28)-C28))</f>
        <v>-20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39</v>
      </c>
      <c r="C29" s="46">
        <v>30</v>
      </c>
      <c r="D29" s="60">
        <v>14</v>
      </c>
      <c r="E29" s="48">
        <v>0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11</v>
      </c>
      <c r="M29" s="46">
        <v>0</v>
      </c>
      <c r="N29" s="53"/>
      <c r="O29" s="61">
        <f t="shared" si="3"/>
        <v>-30</v>
      </c>
      <c r="P29" s="55"/>
    </row>
    <row r="30" spans="1:16" ht="21.75" customHeight="1" x14ac:dyDescent="0.3">
      <c r="A30" s="59" t="str">
        <f>IF(B30="","",VLOOKUP(B30,Lists!$A:$B,2,FALSE()))</f>
        <v>DRILL COLLAR</v>
      </c>
      <c r="B30" s="45" t="s">
        <v>38</v>
      </c>
      <c r="C30" s="46">
        <v>30</v>
      </c>
      <c r="D30" s="60">
        <v>22</v>
      </c>
      <c r="E30" s="48">
        <v>0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8</v>
      </c>
      <c r="M30" s="46">
        <v>0</v>
      </c>
      <c r="N30" s="53"/>
      <c r="O30" s="61">
        <f t="shared" si="3"/>
        <v>-30</v>
      </c>
      <c r="P30" s="55"/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>IF(B31="",0,E31+F31+G31+H31)</f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3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>IF(B32="",0,E32+F32+G32+H32)</f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3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>IF(B33="",0,E33+F33+G33+H33)</f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3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>IF(B34="",0,E34+F34+G34+H34)</f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>IF(B35="",0,E35+F35+G35+H35)</f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2</v>
      </c>
      <c r="D37" s="63">
        <f t="shared" ref="D37:D49" si="4">IF(B37="",0,E37+F37+G37+H37)</f>
        <v>0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>
        <f t="shared" ref="O37:O49" si="5">IF(B37="","",IF((E37+F37)-C37&gt;=0,"OK",(E37+F37)-C37))</f>
        <v>-2</v>
      </c>
      <c r="P37" s="55" t="s">
        <v>220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54</v>
      </c>
      <c r="C38" s="46">
        <v>2</v>
      </c>
      <c r="D38" s="63">
        <f t="shared" si="4"/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>
        <f t="shared" si="5"/>
        <v>-2</v>
      </c>
      <c r="P38" s="55" t="s">
        <v>221</v>
      </c>
    </row>
    <row r="39" spans="1:16" ht="21.75" customHeight="1" x14ac:dyDescent="0.3">
      <c r="A39" s="62" t="str">
        <f>IF(B39="","",VLOOKUP(B39,Lists!$A:$B,2,FALSE()))</f>
        <v>PUP JOINT</v>
      </c>
      <c r="B39" s="45" t="s">
        <v>54</v>
      </c>
      <c r="C39" s="46">
        <v>2</v>
      </c>
      <c r="D39" s="63">
        <f t="shared" si="4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>
        <f t="shared" si="5"/>
        <v>-2</v>
      </c>
      <c r="P39" s="55" t="s">
        <v>222</v>
      </c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4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5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4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5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4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5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4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5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4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5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4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5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4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5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4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5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4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5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4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5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7WGnNcPgk6thiScDENioJq+I7hatEOC4bDTGyD/E3AOk9mEH2QyDyCX0H4pDLkeneJBQwczmM9oL4wsvlU1ELA==" saltValue="eR3SNEMyLm0FY7zv6fWdTw==" spinCount="100000" sheet="1" objects="1" scenarios="1"/>
  <protectedRanges>
    <protectedRange sqref="A1:A1048576 B1:B1048576 A2 A2 B2 A2 D2:E2 G2 E1:E1048576 F1:F1048576 G1:G1048576 H1:H1048576 I1:I1048576 J1:J1048576 K1:K1048576 L1:L1048576 N1:N1048576 M1:M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47" priority="2" operator="lessThan">
      <formula>0</formula>
    </cfRule>
    <cfRule type="expression" dxfId="46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08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08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08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08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5"/>
  <sheetViews>
    <sheetView zoomScaleNormal="100" workbookViewId="0">
      <pane ySplit="5" topLeftCell="A6" activePane="bottomLeft" state="frozen"/>
      <selection pane="bottomLeft" activeCell="O12" sqref="O12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244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>
        <v>109</v>
      </c>
      <c r="C2" s="41" t="s">
        <v>205</v>
      </c>
      <c r="D2" s="105">
        <v>46153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24</v>
      </c>
      <c r="C7" s="46">
        <v>313</v>
      </c>
      <c r="D7" s="47">
        <v>251</v>
      </c>
      <c r="E7" s="48">
        <v>249</v>
      </c>
      <c r="F7" s="49">
        <v>0</v>
      </c>
      <c r="G7" s="50">
        <v>0</v>
      </c>
      <c r="H7" s="51">
        <v>0</v>
      </c>
      <c r="I7" s="52">
        <v>0</v>
      </c>
      <c r="J7" s="46">
        <v>2</v>
      </c>
      <c r="K7" s="46">
        <v>0</v>
      </c>
      <c r="L7" s="46">
        <v>0</v>
      </c>
      <c r="M7" s="46">
        <v>0</v>
      </c>
      <c r="N7" s="53"/>
      <c r="O7" s="54">
        <f t="shared" ref="O7:O19" si="0">IF(B7="","",IF((E7+F7)-C7&gt;=0,"OK",(E7+F7)-C7))</f>
        <v>-64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20</v>
      </c>
      <c r="C8" s="46">
        <v>313</v>
      </c>
      <c r="D8" s="47">
        <v>251</v>
      </c>
      <c r="E8" s="48">
        <v>211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40</v>
      </c>
      <c r="M8" s="46">
        <v>0</v>
      </c>
      <c r="N8" s="53"/>
      <c r="O8" s="54">
        <f t="shared" si="0"/>
        <v>-102</v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ref="D9:D19" si="1">IF(B9="",0,E9+F9+G9+H9)</f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0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32</v>
      </c>
      <c r="C21" s="46">
        <v>42</v>
      </c>
      <c r="D21" s="57">
        <v>48</v>
      </c>
      <c r="E21" s="48">
        <v>41</v>
      </c>
      <c r="F21" s="49">
        <v>0</v>
      </c>
      <c r="G21" s="50">
        <v>0</v>
      </c>
      <c r="H21" s="51">
        <v>0</v>
      </c>
      <c r="I21" s="52">
        <v>0</v>
      </c>
      <c r="J21" s="46">
        <v>7</v>
      </c>
      <c r="K21" s="46">
        <v>0</v>
      </c>
      <c r="L21" s="46">
        <v>0</v>
      </c>
      <c r="M21" s="46">
        <v>0</v>
      </c>
      <c r="N21" s="53"/>
      <c r="O21" s="58">
        <f t="shared" ref="O21:O26" si="2">IF(B21="","",IF((E21+F21)-C21&gt;=0,"OK",(E21+F21)-C21))</f>
        <v>-1</v>
      </c>
      <c r="P21" s="55"/>
    </row>
    <row r="22" spans="1:16" ht="21.75" customHeight="1" x14ac:dyDescent="0.3">
      <c r="A22" s="56" t="str">
        <f>IF(B22="","",VLOOKUP(B22,Lists!$A:$B,2,FALSE()))</f>
        <v>HWDP</v>
      </c>
      <c r="B22" s="45" t="s">
        <v>31</v>
      </c>
      <c r="C22" s="46">
        <v>42</v>
      </c>
      <c r="D22" s="57">
        <v>32</v>
      </c>
      <c r="E22" s="48">
        <v>31</v>
      </c>
      <c r="F22" s="49">
        <v>0</v>
      </c>
      <c r="G22" s="50">
        <v>0</v>
      </c>
      <c r="H22" s="51">
        <v>0</v>
      </c>
      <c r="I22" s="52">
        <v>0</v>
      </c>
      <c r="J22" s="46">
        <v>1</v>
      </c>
      <c r="K22" s="46">
        <v>0</v>
      </c>
      <c r="L22" s="46">
        <v>0</v>
      </c>
      <c r="M22" s="46">
        <v>0</v>
      </c>
      <c r="N22" s="53"/>
      <c r="O22" s="58">
        <f t="shared" si="2"/>
        <v>-11</v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39</v>
      </c>
      <c r="C28" s="46">
        <v>30</v>
      </c>
      <c r="D28" s="60">
        <f>IF(B28="",0,E28+F28+G28+H28)</f>
        <v>17</v>
      </c>
      <c r="E28" s="48">
        <v>17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>
        <f t="shared" ref="O28:O35" si="3">IF(B28="","",IF((E28+F28)-C28&gt;=0,"OK",(E28+F28)-C28))</f>
        <v>-13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43</v>
      </c>
      <c r="C29" s="46">
        <v>20</v>
      </c>
      <c r="D29" s="60">
        <v>4</v>
      </c>
      <c r="E29" s="48">
        <v>20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16</v>
      </c>
      <c r="M29" s="46">
        <v>0</v>
      </c>
      <c r="N29" s="53"/>
      <c r="O29" s="61" t="str">
        <f t="shared" si="3"/>
        <v>OK</v>
      </c>
      <c r="P29" s="55"/>
    </row>
    <row r="30" spans="1:16" ht="21.75" customHeight="1" x14ac:dyDescent="0.3">
      <c r="A30" s="59" t="str">
        <f>IF(B30="","",VLOOKUP(B30,Lists!$A:$B,2,FALSE()))</f>
        <v>DRILL COLLAR</v>
      </c>
      <c r="B30" s="45" t="s">
        <v>38</v>
      </c>
      <c r="C30" s="46">
        <v>30</v>
      </c>
      <c r="D30" s="60">
        <v>22</v>
      </c>
      <c r="E30" s="48">
        <v>25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3</v>
      </c>
      <c r="M30" s="46">
        <v>0</v>
      </c>
      <c r="N30" s="53"/>
      <c r="O30" s="61">
        <f t="shared" si="3"/>
        <v>-5</v>
      </c>
      <c r="P30" s="55"/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>IF(B31="",0,E31+F31+G31+H31)</f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3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>IF(B32="",0,E32+F32+G32+H32)</f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3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>IF(B33="",0,E33+F33+G33+H33)</f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3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>IF(B34="",0,E34+F34+G34+H34)</f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>IF(B35="",0,E35+F35+G35+H35)</f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2</v>
      </c>
      <c r="D37" s="63">
        <f t="shared" ref="D37:D49" si="4">IF(B37="",0,E37+F37+G37+H37)</f>
        <v>0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>
        <f t="shared" ref="O37:O49" si="5">IF(B37="","",IF((E37+F37)-C37&gt;=0,"OK",(E37+F37)-C37))</f>
        <v>-2</v>
      </c>
      <c r="P37" s="55" t="s">
        <v>220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54</v>
      </c>
      <c r="C38" s="46">
        <v>2</v>
      </c>
      <c r="D38" s="63">
        <f t="shared" si="4"/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>
        <f t="shared" si="5"/>
        <v>-2</v>
      </c>
      <c r="P38" s="55" t="s">
        <v>221</v>
      </c>
    </row>
    <row r="39" spans="1:16" ht="21.75" customHeight="1" x14ac:dyDescent="0.3">
      <c r="A39" s="62" t="str">
        <f>IF(B39="","",VLOOKUP(B39,Lists!$A:$B,2,FALSE()))</f>
        <v>PUP JOINT</v>
      </c>
      <c r="B39" s="45" t="s">
        <v>54</v>
      </c>
      <c r="C39" s="46">
        <v>2</v>
      </c>
      <c r="D39" s="63">
        <f t="shared" si="4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>
        <f t="shared" si="5"/>
        <v>-2</v>
      </c>
      <c r="P39" s="55" t="s">
        <v>222</v>
      </c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4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5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4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5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4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5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4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5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4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5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4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5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4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5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4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5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4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5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4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5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3lvyP0l/1CydZA02WWYgg8HnHilthcYHDLH8iLUs+D8dPIfXqDW9t0lyFHMe6guUX55NYnD4WOKn7XQuroIU7g==" saltValue="cVe/xNHJiC2e2+O+MH3TKw==" spinCount="100000" sheet="1" objects="1" scenarios="1"/>
  <protectedRanges>
    <protectedRange sqref="A1:A1048576 B1:B1048576 E1:E1048576 F1:F1048576 G1:G1048576 H1:H1048576 I1:I1048576 J1:J1048576 K1:K1048576 L1:L1048576 M1:M1048576 N1:N1048576 P1:P1048576 D2:E2 G2 B2 B2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45" priority="2" operator="lessThan">
      <formula>0</formula>
    </cfRule>
    <cfRule type="expression" dxfId="44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09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09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09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09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5"/>
  <sheetViews>
    <sheetView zoomScaleNormal="100" workbookViewId="0">
      <pane ySplit="5" topLeftCell="A19" activePane="bottomLeft" state="frozen"/>
      <selection pane="bottomLeft" activeCell="O24" sqref="O24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245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>
        <v>110</v>
      </c>
      <c r="C2" s="41" t="s">
        <v>205</v>
      </c>
      <c r="D2" s="105">
        <v>46160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24</v>
      </c>
      <c r="C7" s="46">
        <v>208</v>
      </c>
      <c r="D7" s="47">
        <v>201</v>
      </c>
      <c r="E7" s="48">
        <v>192</v>
      </c>
      <c r="F7" s="49">
        <v>0</v>
      </c>
      <c r="G7" s="50">
        <v>0</v>
      </c>
      <c r="H7" s="51">
        <v>0</v>
      </c>
      <c r="I7" s="52">
        <v>0</v>
      </c>
      <c r="J7" s="46">
        <v>4</v>
      </c>
      <c r="K7" s="46">
        <v>5</v>
      </c>
      <c r="L7" s="46">
        <v>0</v>
      </c>
      <c r="M7" s="46">
        <v>0</v>
      </c>
      <c r="N7" s="53"/>
      <c r="O7" s="54">
        <f t="shared" ref="O7:O19" si="0">IF(B7="","",IF((E7+F7)-C7&gt;=0,"OK",(E7+F7)-C7))</f>
        <v>-16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19</v>
      </c>
      <c r="C8" s="46">
        <v>208</v>
      </c>
      <c r="D8" s="47">
        <v>258</v>
      </c>
      <c r="E8" s="48">
        <v>252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6</v>
      </c>
      <c r="L8" s="46">
        <v>0</v>
      </c>
      <c r="M8" s="46">
        <v>0</v>
      </c>
      <c r="N8" s="53"/>
      <c r="O8" s="54" t="str">
        <f t="shared" si="0"/>
        <v>OK</v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ref="D9:D19" si="1">IF(B9="",0,E9+F9+G9+H9)</f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0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32</v>
      </c>
      <c r="C21" s="46">
        <v>38</v>
      </c>
      <c r="D21" s="57">
        <v>38</v>
      </c>
      <c r="E21" s="48">
        <v>32</v>
      </c>
      <c r="F21" s="49">
        <v>0</v>
      </c>
      <c r="G21" s="50">
        <v>0</v>
      </c>
      <c r="H21" s="51">
        <v>0</v>
      </c>
      <c r="I21" s="52">
        <v>0</v>
      </c>
      <c r="J21" s="46">
        <v>6</v>
      </c>
      <c r="K21" s="46">
        <v>0</v>
      </c>
      <c r="L21" s="46">
        <v>0</v>
      </c>
      <c r="M21" s="46">
        <v>0</v>
      </c>
      <c r="N21" s="53"/>
      <c r="O21" s="58">
        <f t="shared" ref="O21:O26" si="2">IF(B21="","",IF((E21+F21)-C21&gt;=0,"OK",(E21+F21)-C21))</f>
        <v>-6</v>
      </c>
      <c r="P21" s="55"/>
    </row>
    <row r="22" spans="1:16" ht="21.75" customHeight="1" x14ac:dyDescent="0.3">
      <c r="A22" s="56" t="str">
        <f>IF(B22="","",VLOOKUP(B22,Lists!$A:$B,2,FALSE()))</f>
        <v>HWDP</v>
      </c>
      <c r="B22" s="45" t="s">
        <v>31</v>
      </c>
      <c r="C22" s="46">
        <v>38</v>
      </c>
      <c r="D22" s="57">
        <f>IF(B22="",0,E22+F22+G22+H22)</f>
        <v>12</v>
      </c>
      <c r="E22" s="48">
        <v>12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>
        <f t="shared" si="2"/>
        <v>-26</v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36</v>
      </c>
      <c r="C28" s="46">
        <v>3</v>
      </c>
      <c r="D28" s="60">
        <v>4</v>
      </c>
      <c r="E28" s="48">
        <v>3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1</v>
      </c>
      <c r="L28" s="46">
        <v>0</v>
      </c>
      <c r="M28" s="46">
        <v>0</v>
      </c>
      <c r="N28" s="53"/>
      <c r="O28" s="61" t="str">
        <f t="shared" ref="O28:O35" si="3">IF(B28="","",IF((E28+F28)-C28&gt;=0,"OK",(E28+F28)-C28))</f>
        <v>OK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38</v>
      </c>
      <c r="C29" s="46">
        <v>20</v>
      </c>
      <c r="D29" s="60">
        <v>19</v>
      </c>
      <c r="E29" s="48">
        <v>18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1</v>
      </c>
      <c r="L29" s="46">
        <v>0</v>
      </c>
      <c r="M29" s="46">
        <v>0</v>
      </c>
      <c r="N29" s="53"/>
      <c r="O29" s="61">
        <f t="shared" si="3"/>
        <v>-2</v>
      </c>
      <c r="P29" s="55"/>
    </row>
    <row r="30" spans="1:16" ht="21.75" customHeight="1" x14ac:dyDescent="0.3">
      <c r="A30" s="59" t="str">
        <f>IF(B30="","",VLOOKUP(B30,Lists!$A:$B,2,FALSE()))</f>
        <v>DRILL COLLAR</v>
      </c>
      <c r="B30" s="45" t="s">
        <v>39</v>
      </c>
      <c r="C30" s="46">
        <v>12</v>
      </c>
      <c r="D30" s="60">
        <f t="shared" ref="D30:D35" si="4">IF(B30="",0,E30+F30+G30+H30)</f>
        <v>12</v>
      </c>
      <c r="E30" s="48">
        <v>12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 t="str">
        <f t="shared" si="3"/>
        <v>OK</v>
      </c>
      <c r="P30" s="55"/>
    </row>
    <row r="31" spans="1:16" ht="21.75" customHeight="1" x14ac:dyDescent="0.3">
      <c r="A31" s="59" t="str">
        <f>IF(B31="","",VLOOKUP(B31,Lists!$A:$B,2,FALSE()))</f>
        <v>DRILL COLLAR</v>
      </c>
      <c r="B31" s="45" t="s">
        <v>43</v>
      </c>
      <c r="C31" s="46">
        <v>12</v>
      </c>
      <c r="D31" s="60">
        <f t="shared" si="4"/>
        <v>12</v>
      </c>
      <c r="E31" s="48">
        <v>12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3"/>
        <v>OK</v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4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3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4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3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4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4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3</v>
      </c>
      <c r="D37" s="63">
        <f t="shared" ref="D37:D49" si="5">IF(B37="",0,E37+F37+G37+H37)</f>
        <v>4</v>
      </c>
      <c r="E37" s="48">
        <v>4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6">IF(B37="","",IF((E37+F37)-C37&gt;=0,"OK",(E37+F37)-C37))</f>
        <v>OK</v>
      </c>
      <c r="P37" s="55" t="s">
        <v>246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49</v>
      </c>
      <c r="C38" s="46">
        <v>3</v>
      </c>
      <c r="D38" s="63">
        <f t="shared" si="5"/>
        <v>6</v>
      </c>
      <c r="E38" s="48">
        <v>6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6"/>
        <v>OK</v>
      </c>
      <c r="P38" s="55" t="s">
        <v>247</v>
      </c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si="5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6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5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6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5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6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5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6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5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6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5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6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5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6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5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6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5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6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5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6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5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6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 t="s">
        <v>248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bE47fdWSSOQkZsOnkbjaqjfdcs8Lf8tyHSPP3jxMZdQ6z3YF9VCbEBhg1gxY9WqesjQOL93JH6BZ/E8r0iqhJg==" saltValue="kMEhauI0VaO2DKMp6JozfQ==" spinCount="100000" sheet="1" objects="1" scenarios="1"/>
  <protectedRanges>
    <protectedRange sqref="A1:A1048576 B1:B1048576 E1:E1048576 F1:F1048576 G1:G1048576 H1:H1048576 I1:I1048576 J1:J1048576 K1:K1048576 L1:L1048576 M1:M1048576 N1:N1048576 P1:P1048576 D2:E2 G2 B2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43" priority="2" operator="lessThan">
      <formula>0</formula>
    </cfRule>
    <cfRule type="expression" dxfId="42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0A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0A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0A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0A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55"/>
  <sheetViews>
    <sheetView zoomScaleNormal="100" workbookViewId="0">
      <pane ySplit="5" topLeftCell="A6" activePane="bottomLeft" state="frozen"/>
      <selection pane="bottomLeft" activeCell="B19" sqref="B19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249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250</v>
      </c>
      <c r="C2" s="41" t="s">
        <v>205</v>
      </c>
      <c r="D2" s="105">
        <v>46162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24</v>
      </c>
      <c r="C7" s="46">
        <v>208</v>
      </c>
      <c r="D7" s="47">
        <f t="shared" ref="D7:D19" si="0">IF(B7="",0,E7+F7+G7+H7)</f>
        <v>183</v>
      </c>
      <c r="E7" s="48">
        <v>168</v>
      </c>
      <c r="F7" s="49">
        <v>0</v>
      </c>
      <c r="G7" s="50">
        <v>0</v>
      </c>
      <c r="H7" s="51">
        <v>15</v>
      </c>
      <c r="I7" s="52">
        <v>0</v>
      </c>
      <c r="J7" s="46">
        <v>0</v>
      </c>
      <c r="K7" s="46">
        <v>25</v>
      </c>
      <c r="L7" s="46">
        <v>0</v>
      </c>
      <c r="M7" s="46">
        <v>0</v>
      </c>
      <c r="N7" s="53"/>
      <c r="O7" s="54">
        <f t="shared" ref="O7:O19" si="1">IF(B7="","",IF((E7+F7)-C7&gt;=0,"OK",(E7+F7)-C7))</f>
        <v>-40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19</v>
      </c>
      <c r="C8" s="46">
        <v>208</v>
      </c>
      <c r="D8" s="47">
        <f t="shared" si="0"/>
        <v>208</v>
      </c>
      <c r="E8" s="48">
        <v>208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 t="str">
        <f t="shared" si="1"/>
        <v>OK</v>
      </c>
      <c r="P8" s="55" t="s">
        <v>251</v>
      </c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si="0"/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1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0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1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0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1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0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1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0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1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0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1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0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1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0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1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0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1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0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1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0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1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32</v>
      </c>
      <c r="C21" s="46">
        <v>40</v>
      </c>
      <c r="D21" s="57">
        <v>40</v>
      </c>
      <c r="E21" s="48">
        <v>28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12</v>
      </c>
      <c r="L21" s="46">
        <v>0</v>
      </c>
      <c r="M21" s="46">
        <v>0</v>
      </c>
      <c r="N21" s="53"/>
      <c r="O21" s="58">
        <f t="shared" ref="O21:O26" si="2">IF(B21="","",IF((E21+F21)-C21&gt;=0,"OK",(E21+F21)-C21))</f>
        <v>-12</v>
      </c>
      <c r="P21" s="55" t="s">
        <v>237</v>
      </c>
    </row>
    <row r="22" spans="1:16" ht="21.75" customHeight="1" x14ac:dyDescent="0.3">
      <c r="A22" s="56" t="str">
        <f>IF(B22="","",VLOOKUP(B22,Lists!$A:$B,2,FALSE()))</f>
        <v>HWDP</v>
      </c>
      <c r="B22" s="45" t="s">
        <v>31</v>
      </c>
      <c r="C22" s="46">
        <v>40</v>
      </c>
      <c r="D22" s="57">
        <f>IF(B22="",0,E22+F22+G22+H22)</f>
        <v>40</v>
      </c>
      <c r="E22" s="48">
        <v>40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2"/>
        <v>OK</v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36</v>
      </c>
      <c r="C28" s="46">
        <v>3</v>
      </c>
      <c r="D28" s="60">
        <f>IF(B28="",0,E28+F28+G28+H28)</f>
        <v>3</v>
      </c>
      <c r="E28" s="48">
        <v>3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3">IF(B28="","",IF((E28+F28)-C28&gt;=0,"OK",(E28+F28)-C28))</f>
        <v>OK</v>
      </c>
      <c r="P28" s="55" t="s">
        <v>252</v>
      </c>
    </row>
    <row r="29" spans="1:16" ht="21.75" customHeight="1" x14ac:dyDescent="0.3">
      <c r="A29" s="59" t="str">
        <f>IF(B29="","",VLOOKUP(B29,Lists!$A:$B,2,FALSE()))</f>
        <v>DRILL COLLAR</v>
      </c>
      <c r="B29" s="45" t="s">
        <v>38</v>
      </c>
      <c r="C29" s="46">
        <v>20</v>
      </c>
      <c r="D29" s="60">
        <v>20</v>
      </c>
      <c r="E29" s="48">
        <v>16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4</v>
      </c>
      <c r="L29" s="46">
        <v>0</v>
      </c>
      <c r="M29" s="46">
        <v>0</v>
      </c>
      <c r="N29" s="53"/>
      <c r="O29" s="61">
        <f t="shared" si="3"/>
        <v>-4</v>
      </c>
      <c r="P29" s="55" t="s">
        <v>253</v>
      </c>
    </row>
    <row r="30" spans="1:16" ht="21.75" customHeight="1" x14ac:dyDescent="0.3">
      <c r="A30" s="59" t="str">
        <f>IF(B30="","",VLOOKUP(B30,Lists!$A:$B,2,FALSE()))</f>
        <v>DRILL COLLAR</v>
      </c>
      <c r="B30" s="45" t="s">
        <v>39</v>
      </c>
      <c r="C30" s="46">
        <v>12</v>
      </c>
      <c r="D30" s="60">
        <f>IF(B30="",0,E30+F30+G30+H30)</f>
        <v>12</v>
      </c>
      <c r="E30" s="48">
        <v>10</v>
      </c>
      <c r="F30" s="49">
        <v>0</v>
      </c>
      <c r="G30" s="50">
        <v>0</v>
      </c>
      <c r="H30" s="51">
        <v>2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>
        <f t="shared" si="3"/>
        <v>-2</v>
      </c>
      <c r="P30" s="55" t="s">
        <v>254</v>
      </c>
    </row>
    <row r="31" spans="1:16" ht="21.75" customHeight="1" x14ac:dyDescent="0.3">
      <c r="A31" s="59" t="str">
        <f>IF(B31="","",VLOOKUP(B31,Lists!$A:$B,2,FALSE()))</f>
        <v>DRILL COLLAR</v>
      </c>
      <c r="B31" s="45" t="s">
        <v>43</v>
      </c>
      <c r="C31" s="46">
        <v>12</v>
      </c>
      <c r="D31" s="60">
        <v>12</v>
      </c>
      <c r="E31" s="48">
        <v>11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1</v>
      </c>
      <c r="L31" s="46">
        <v>0</v>
      </c>
      <c r="M31" s="46">
        <v>0</v>
      </c>
      <c r="N31" s="53"/>
      <c r="O31" s="61">
        <f t="shared" si="3"/>
        <v>-1</v>
      </c>
      <c r="P31" s="55" t="s">
        <v>255</v>
      </c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>IF(B32="",0,E32+F32+G32+H32)</f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3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>IF(B33="",0,E33+F33+G33+H33)</f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3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>IF(B34="",0,E34+F34+G34+H34)</f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>IF(B35="",0,E35+F35+G35+H35)</f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3</v>
      </c>
      <c r="D37" s="63">
        <f t="shared" ref="D37:D49" si="4">IF(B37="",0,E37+F37+G37+H37)</f>
        <v>6</v>
      </c>
      <c r="E37" s="48">
        <v>6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5">IF(B37="","",IF((E37+F37)-C37&gt;=0,"OK",(E37+F37)-C37))</f>
        <v>OK</v>
      </c>
      <c r="P37" s="55" t="s">
        <v>246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49</v>
      </c>
      <c r="C38" s="46">
        <v>3</v>
      </c>
      <c r="D38" s="63">
        <f t="shared" si="4"/>
        <v>6</v>
      </c>
      <c r="E38" s="48">
        <v>6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5"/>
        <v>OK</v>
      </c>
      <c r="P38" s="55" t="s">
        <v>247</v>
      </c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si="4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5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4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5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4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5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4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5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4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5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4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5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4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5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4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5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4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5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4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5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4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5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 t="s">
        <v>248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DHCdAM+NnpsIKtOvgmzzgz9En2Hk9DCpckA/NT6BGfY3iMmCCfkJQLkStjOqcM+VykcbbgzIQj++/cnuQ5yV/Q==" saltValue="cwq6Ia4WxGH4v4R5ZrFT4Q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41" priority="2" operator="lessThan">
      <formula>0</formula>
    </cfRule>
    <cfRule type="expression" dxfId="40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0B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0B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0B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0B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5"/>
  <sheetViews>
    <sheetView zoomScaleNormal="100" workbookViewId="0">
      <pane ySplit="5" topLeftCell="A6" activePane="bottomLeft" state="frozen"/>
      <selection pane="bottomLeft" activeCell="C8" sqref="C8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256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257</v>
      </c>
      <c r="C2" s="41" t="s">
        <v>205</v>
      </c>
      <c r="D2" s="105">
        <v>46143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18</v>
      </c>
      <c r="C7" s="46">
        <v>210</v>
      </c>
      <c r="D7" s="47">
        <f t="shared" ref="D7:D19" si="0">IF(B7="",0,E7+F7+G7+H7)</f>
        <v>196</v>
      </c>
      <c r="E7" s="48">
        <v>196</v>
      </c>
      <c r="F7" s="49">
        <v>0</v>
      </c>
      <c r="G7" s="50">
        <v>0</v>
      </c>
      <c r="H7" s="51">
        <v>0</v>
      </c>
      <c r="I7" s="52">
        <v>14</v>
      </c>
      <c r="J7" s="46">
        <v>0</v>
      </c>
      <c r="K7" s="46">
        <v>0</v>
      </c>
      <c r="L7" s="46">
        <v>0</v>
      </c>
      <c r="M7" s="46">
        <v>0</v>
      </c>
      <c r="N7" s="53"/>
      <c r="O7" s="54">
        <f t="shared" ref="O7:O19" si="1">IF(B7="","",IF((E7+F7)-C7&gt;=0,"OK",(E7+F7)-C7))</f>
        <v>-14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24</v>
      </c>
      <c r="C8" s="46">
        <v>290</v>
      </c>
      <c r="D8" s="47">
        <f t="shared" si="0"/>
        <v>260</v>
      </c>
      <c r="E8" s="48">
        <v>260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>
        <f t="shared" si="1"/>
        <v>-30</v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si="0"/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1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0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1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0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1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0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1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0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1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0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1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0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1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0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1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0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1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0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1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0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1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32</v>
      </c>
      <c r="C21" s="46">
        <v>40</v>
      </c>
      <c r="D21" s="57">
        <f t="shared" ref="D21:D26" si="2">IF(B21="",0,E21+F21+G21+H21)</f>
        <v>31</v>
      </c>
      <c r="E21" s="48">
        <v>31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>
        <f t="shared" ref="O21:O26" si="3">IF(B21="","",IF((E21+F21)-C21&gt;=0,"OK",(E21+F21)-C21))</f>
        <v>-9</v>
      </c>
      <c r="P21" s="55"/>
    </row>
    <row r="22" spans="1:16" ht="21.75" customHeight="1" x14ac:dyDescent="0.3">
      <c r="A22" s="56" t="str">
        <f>IF(B22="","",VLOOKUP(B22,Lists!$A:$B,2,FALSE()))</f>
        <v/>
      </c>
      <c r="B22" s="45"/>
      <c r="C22" s="46">
        <v>0</v>
      </c>
      <c r="D22" s="57">
        <f t="shared" si="2"/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3"/>
        <v/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 t="shared" si="2"/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3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 t="shared" si="2"/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3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 t="shared" si="2"/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3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 t="shared" si="2"/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3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36</v>
      </c>
      <c r="C28" s="46">
        <v>3</v>
      </c>
      <c r="D28" s="60">
        <f t="shared" ref="D28:D35" si="4">IF(B28="",0,E28+F28+G28+H28)</f>
        <v>2</v>
      </c>
      <c r="E28" s="48">
        <v>2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>
        <f t="shared" ref="O28:O35" si="5">IF(B28="","",IF((E28+F28)-C28&gt;=0,"OK",(E28+F28)-C28))</f>
        <v>-1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38</v>
      </c>
      <c r="C29" s="46">
        <v>18</v>
      </c>
      <c r="D29" s="60">
        <f t="shared" si="4"/>
        <v>16</v>
      </c>
      <c r="E29" s="48">
        <v>16</v>
      </c>
      <c r="F29" s="49">
        <v>0</v>
      </c>
      <c r="G29" s="50">
        <v>0</v>
      </c>
      <c r="H29" s="51">
        <v>0</v>
      </c>
      <c r="I29" s="52">
        <v>2</v>
      </c>
      <c r="J29" s="46">
        <v>0</v>
      </c>
      <c r="K29" s="46">
        <v>0</v>
      </c>
      <c r="L29" s="46">
        <v>0</v>
      </c>
      <c r="M29" s="46">
        <v>0</v>
      </c>
      <c r="N29" s="53"/>
      <c r="O29" s="61">
        <f t="shared" si="5"/>
        <v>-2</v>
      </c>
      <c r="P29" s="55"/>
    </row>
    <row r="30" spans="1:16" ht="21.75" customHeight="1" x14ac:dyDescent="0.3">
      <c r="A30" s="59" t="str">
        <f>IF(B30="","",VLOOKUP(B30,Lists!$A:$B,2,FALSE()))</f>
        <v>DRILL COLLAR</v>
      </c>
      <c r="B30" s="45" t="s">
        <v>41</v>
      </c>
      <c r="C30" s="46">
        <v>20</v>
      </c>
      <c r="D30" s="60">
        <f t="shared" si="4"/>
        <v>24</v>
      </c>
      <c r="E30" s="48">
        <v>24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 t="str">
        <f t="shared" si="5"/>
        <v>OK</v>
      </c>
      <c r="P30" s="55"/>
    </row>
    <row r="31" spans="1:16" ht="21.75" customHeight="1" x14ac:dyDescent="0.3">
      <c r="A31" s="59" t="str">
        <f>IF(B31="","",VLOOKUP(B31,Lists!$A:$B,2,FALSE()))</f>
        <v>DRILL COLLAR</v>
      </c>
      <c r="B31" s="45" t="s">
        <v>43</v>
      </c>
      <c r="C31" s="46">
        <v>20</v>
      </c>
      <c r="D31" s="60">
        <f t="shared" si="4"/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20</v>
      </c>
      <c r="M31" s="46">
        <v>0</v>
      </c>
      <c r="N31" s="53"/>
      <c r="O31" s="61">
        <f t="shared" si="5"/>
        <v>-20</v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4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5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4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5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4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5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4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5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0</v>
      </c>
      <c r="D37" s="63">
        <f t="shared" ref="D37:D49" si="6">IF(B37="",0,E37+F37+G37+H37)</f>
        <v>1</v>
      </c>
      <c r="E37" s="48">
        <v>1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7">IF(B37="","",IF((E37+F37)-C37&gt;=0,"OK",(E37+F37)-C37))</f>
        <v>OK</v>
      </c>
      <c r="P37" s="55" t="s">
        <v>258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54</v>
      </c>
      <c r="C38" s="46">
        <v>0</v>
      </c>
      <c r="D38" s="63">
        <f t="shared" si="6"/>
        <v>1</v>
      </c>
      <c r="E38" s="48">
        <v>1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7"/>
        <v>OK</v>
      </c>
      <c r="P38" s="55" t="s">
        <v>259</v>
      </c>
    </row>
    <row r="39" spans="1:16" ht="21.75" customHeight="1" x14ac:dyDescent="0.3">
      <c r="A39" s="62" t="str">
        <f>IF(B39="","",VLOOKUP(B39,Lists!$A:$B,2,FALSE()))</f>
        <v>PUP JOINT</v>
      </c>
      <c r="B39" s="45" t="s">
        <v>54</v>
      </c>
      <c r="C39" s="46">
        <v>0</v>
      </c>
      <c r="D39" s="63">
        <f t="shared" si="6"/>
        <v>1</v>
      </c>
      <c r="E39" s="48">
        <v>1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7"/>
        <v>OK</v>
      </c>
      <c r="P39" s="55" t="s">
        <v>260</v>
      </c>
    </row>
    <row r="40" spans="1:16" ht="21.75" customHeight="1" x14ac:dyDescent="0.3">
      <c r="A40" s="62" t="str">
        <f>IF(B40="","",VLOOKUP(B40,Lists!$A:$B,2,FALSE()))</f>
        <v>PUP JOINT</v>
      </c>
      <c r="B40" s="45" t="s">
        <v>54</v>
      </c>
      <c r="C40" s="46">
        <v>0</v>
      </c>
      <c r="D40" s="63">
        <f t="shared" si="6"/>
        <v>1</v>
      </c>
      <c r="E40" s="48">
        <v>1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7"/>
        <v>OK</v>
      </c>
      <c r="P40" s="55" t="s">
        <v>261</v>
      </c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6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7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6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7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6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7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6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7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6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7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6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7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6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7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6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7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6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7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+Y5jC7cBs9AMY3IdGwtHvAZDqc8wLC94FCnNLPGOlcawNVE/V0cKA5faVH9gaM8rskOLQaD3NGLU67aWI4X08Q==" saltValue="r5S6zRhnQpy+gp2GGf0YdA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39" priority="2" operator="lessThan">
      <formula>0</formula>
    </cfRule>
    <cfRule type="expression" dxfId="38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0D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0D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0D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0D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5"/>
  <sheetViews>
    <sheetView zoomScaleNormal="100" workbookViewId="0">
      <pane ySplit="5" topLeftCell="A6" activePane="bottomLeft" state="frozen"/>
      <selection pane="bottomLeft" activeCell="H14" sqref="H14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262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263</v>
      </c>
      <c r="C2" s="41" t="s">
        <v>205</v>
      </c>
      <c r="D2" s="105">
        <v>46173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18</v>
      </c>
      <c r="C7" s="46">
        <v>0</v>
      </c>
      <c r="D7" s="47">
        <f>IF(B7="",0,E7+F7+G7+H7)</f>
        <v>61</v>
      </c>
      <c r="E7" s="48">
        <v>61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 t="str">
        <f t="shared" ref="O7:O19" si="0">IF(B7="","",IF((E7+F7)-C7&gt;=0,"OK",(E7+F7)-C7))</f>
        <v>OK</v>
      </c>
      <c r="P7" s="76" t="s">
        <v>264</v>
      </c>
    </row>
    <row r="8" spans="1:16" ht="21.75" customHeight="1" x14ac:dyDescent="0.3">
      <c r="A8" s="44" t="str">
        <f>IF(B8="","",VLOOKUP(B8,Lists!$A:$B,2,FALSE()))</f>
        <v>DRILL PIPE</v>
      </c>
      <c r="B8" s="45" t="s">
        <v>20</v>
      </c>
      <c r="C8" s="46">
        <v>182</v>
      </c>
      <c r="D8" s="47">
        <f>IF(B8="",0,E8+F8+G8+H8)</f>
        <v>72</v>
      </c>
      <c r="E8" s="48">
        <v>71</v>
      </c>
      <c r="F8" s="49">
        <v>0</v>
      </c>
      <c r="G8" s="50">
        <v>0</v>
      </c>
      <c r="H8" s="51">
        <v>1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>
        <f t="shared" si="0"/>
        <v>-111</v>
      </c>
      <c r="P8" s="55"/>
    </row>
    <row r="9" spans="1:16" ht="21.75" customHeight="1" x14ac:dyDescent="0.3">
      <c r="A9" s="44" t="str">
        <f>IF(B9="","",VLOOKUP(B9,Lists!$A:$B,2,FALSE()))</f>
        <v>DRILL PIPE</v>
      </c>
      <c r="B9" s="45" t="s">
        <v>18</v>
      </c>
      <c r="C9" s="46">
        <v>0</v>
      </c>
      <c r="D9" s="47">
        <f>IF(B9="",0,E9+F9+G9+H9)</f>
        <v>136</v>
      </c>
      <c r="E9" s="48">
        <v>130</v>
      </c>
      <c r="F9" s="49">
        <v>0</v>
      </c>
      <c r="G9" s="50">
        <v>0</v>
      </c>
      <c r="H9" s="51">
        <v>6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0"/>
        <v>OK</v>
      </c>
      <c r="P9" s="55"/>
    </row>
    <row r="10" spans="1:16" ht="21.75" customHeight="1" x14ac:dyDescent="0.3">
      <c r="A10" s="44" t="str">
        <f>IF(B10="","",VLOOKUP(B10,Lists!$A:$B,2,FALSE()))</f>
        <v>DRILL PIPE</v>
      </c>
      <c r="B10" s="45" t="s">
        <v>24</v>
      </c>
      <c r="C10" s="46">
        <v>286</v>
      </c>
      <c r="D10" s="47">
        <v>16</v>
      </c>
      <c r="E10" s="48">
        <v>0</v>
      </c>
      <c r="F10" s="49">
        <v>0</v>
      </c>
      <c r="G10" s="50">
        <v>0</v>
      </c>
      <c r="H10" s="51">
        <v>0</v>
      </c>
      <c r="I10" s="52">
        <v>16</v>
      </c>
      <c r="J10" s="46">
        <v>0</v>
      </c>
      <c r="K10" s="46">
        <v>0</v>
      </c>
      <c r="L10" s="46">
        <v>0</v>
      </c>
      <c r="M10" s="46">
        <v>0</v>
      </c>
      <c r="N10" s="53"/>
      <c r="O10" s="54">
        <f t="shared" si="0"/>
        <v>-286</v>
      </c>
      <c r="P10" s="55"/>
    </row>
    <row r="11" spans="1:16" ht="21.75" customHeight="1" x14ac:dyDescent="0.3">
      <c r="A11" s="44" t="str">
        <f>IF(B11="","",VLOOKUP(B11,Lists!$A:$B,2,FALSE()))</f>
        <v>DRILL PIPE</v>
      </c>
      <c r="B11" s="45" t="s">
        <v>25</v>
      </c>
      <c r="C11" s="46">
        <v>0</v>
      </c>
      <c r="D11" s="47">
        <v>147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>OK</v>
      </c>
      <c r="P11" s="55" t="s">
        <v>265</v>
      </c>
    </row>
    <row r="12" spans="1:16" ht="21.75" customHeight="1" x14ac:dyDescent="0.3">
      <c r="A12" s="44" t="str">
        <f>IF(B12="","",VLOOKUP(B12,Lists!$A:$B,2,FALSE()))</f>
        <v>DRILL PIPE</v>
      </c>
      <c r="B12" s="45" t="s">
        <v>24</v>
      </c>
      <c r="C12" s="46">
        <v>0</v>
      </c>
      <c r="D12" s="47">
        <f>IF(B12="",0,E12+F12+G12+H12)</f>
        <v>124</v>
      </c>
      <c r="E12" s="48">
        <v>0</v>
      </c>
      <c r="F12" s="49">
        <v>0</v>
      </c>
      <c r="G12" s="50">
        <v>0</v>
      </c>
      <c r="H12" s="51">
        <v>124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>OK</v>
      </c>
      <c r="P12" s="55"/>
    </row>
    <row r="13" spans="1:16" ht="21.75" customHeight="1" x14ac:dyDescent="0.3">
      <c r="A13" s="44" t="str">
        <f>IF(B13="","",VLOOKUP(B13,Lists!$A:$B,2,FALSE()))</f>
        <v>DRILL PIPE</v>
      </c>
      <c r="B13" s="45" t="s">
        <v>24</v>
      </c>
      <c r="C13" s="46">
        <v>0</v>
      </c>
      <c r="D13" s="47">
        <f>IF(B13="",0,E13+F13+G13+H13)</f>
        <v>61</v>
      </c>
      <c r="E13" s="48">
        <v>60</v>
      </c>
      <c r="F13" s="49">
        <v>0</v>
      </c>
      <c r="G13" s="50">
        <v>0</v>
      </c>
      <c r="H13" s="51">
        <v>1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>OK</v>
      </c>
      <c r="P13" s="55"/>
    </row>
    <row r="14" spans="1:16" ht="21.75" customHeight="1" x14ac:dyDescent="0.3">
      <c r="A14" s="44" t="str">
        <f>IF(B14="","",VLOOKUP(B14,Lists!$A:$B,2,FALSE()))</f>
        <v>DRILL PIPE</v>
      </c>
      <c r="B14" s="45" t="s">
        <v>16</v>
      </c>
      <c r="C14" s="46">
        <v>0</v>
      </c>
      <c r="D14" s="47">
        <v>1</v>
      </c>
      <c r="E14" s="48">
        <v>0</v>
      </c>
      <c r="F14" s="49">
        <v>0</v>
      </c>
      <c r="G14" s="50">
        <v>0</v>
      </c>
      <c r="H14" s="51">
        <v>0</v>
      </c>
      <c r="I14" s="52">
        <v>1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>OK</v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>IF(B15="",0,E15+F15+G15+H15)</f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>IF(B16="",0,E16+F16+G16+H16)</f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>IF(B17="",0,E17+F17+G17+H17)</f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>IF(B18="",0,E18+F18+G18+H18)</f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>IF(B19="",0,E19+F19+G19+H19)</f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32</v>
      </c>
      <c r="C21" s="46">
        <v>36</v>
      </c>
      <c r="D21" s="57">
        <v>12</v>
      </c>
      <c r="E21" s="48">
        <v>7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>
        <f t="shared" ref="O21:O26" si="1">IF(B21="","",IF((E21+F21)-C21&gt;=0,"OK",(E21+F21)-C21))</f>
        <v>-29</v>
      </c>
      <c r="P21" s="55"/>
    </row>
    <row r="22" spans="1:16" ht="21.75" customHeight="1" x14ac:dyDescent="0.3">
      <c r="A22" s="56" t="str">
        <f>IF(B22="","",VLOOKUP(B22,Lists!$A:$B,2,FALSE()))</f>
        <v>HWDP</v>
      </c>
      <c r="B22" s="45" t="s">
        <v>32</v>
      </c>
      <c r="C22" s="46">
        <v>0</v>
      </c>
      <c r="D22" s="57">
        <v>24</v>
      </c>
      <c r="E22" s="48">
        <v>0</v>
      </c>
      <c r="F22" s="49">
        <v>0</v>
      </c>
      <c r="G22" s="50">
        <v>0</v>
      </c>
      <c r="H22" s="51">
        <v>0</v>
      </c>
      <c r="I22" s="52">
        <v>24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1"/>
        <v>OK</v>
      </c>
      <c r="P22" s="55"/>
    </row>
    <row r="23" spans="1:16" ht="21.75" customHeight="1" x14ac:dyDescent="0.3">
      <c r="A23" s="56" t="str">
        <f>IF(B23="","",VLOOKUP(B23,Lists!$A:$B,2,FALSE()))</f>
        <v>HWDP</v>
      </c>
      <c r="B23" s="45" t="s">
        <v>32</v>
      </c>
      <c r="C23" s="46">
        <v>0</v>
      </c>
      <c r="D23" s="57">
        <v>10</v>
      </c>
      <c r="E23" s="48">
        <v>0</v>
      </c>
      <c r="F23" s="49">
        <v>0</v>
      </c>
      <c r="G23" s="50">
        <v>0</v>
      </c>
      <c r="H23" s="51">
        <v>7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1"/>
        <v>OK</v>
      </c>
      <c r="P23" s="55"/>
    </row>
    <row r="24" spans="1:16" ht="21.75" customHeight="1" x14ac:dyDescent="0.3">
      <c r="A24" s="56" t="str">
        <f>IF(B24="","",VLOOKUP(B24,Lists!$A:$B,2,FALSE()))</f>
        <v>HWDP</v>
      </c>
      <c r="B24" s="45" t="s">
        <v>29</v>
      </c>
      <c r="C24" s="46">
        <v>0</v>
      </c>
      <c r="D24" s="57">
        <v>25</v>
      </c>
      <c r="E24" s="48">
        <v>0</v>
      </c>
      <c r="F24" s="49">
        <v>0</v>
      </c>
      <c r="G24" s="50">
        <v>0</v>
      </c>
      <c r="H24" s="51">
        <v>0</v>
      </c>
      <c r="I24" s="52">
        <v>25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1"/>
        <v>OK</v>
      </c>
      <c r="P24" s="55"/>
    </row>
    <row r="25" spans="1:16" ht="21.75" customHeight="1" x14ac:dyDescent="0.3">
      <c r="A25" s="56" t="str">
        <f>IF(B25="","",VLOOKUP(B25,Lists!$A:$B,2,FALSE()))</f>
        <v>HWDP</v>
      </c>
      <c r="B25" s="45" t="s">
        <v>31</v>
      </c>
      <c r="C25" s="46">
        <v>36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>
        <f t="shared" si="1"/>
        <v>-36</v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1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36</v>
      </c>
      <c r="C28" s="46">
        <v>3</v>
      </c>
      <c r="D28" s="60">
        <f>IF(B28="",0,E28+F28+G28+H28)</f>
        <v>4</v>
      </c>
      <c r="E28" s="48">
        <v>4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2">IF(B28="","",IF((E28+F28)-C28&gt;=0,"OK",(E28+F28)-C28))</f>
        <v>OK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38</v>
      </c>
      <c r="C29" s="46">
        <v>18</v>
      </c>
      <c r="D29" s="60">
        <v>13</v>
      </c>
      <c r="E29" s="48">
        <v>11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>
        <f t="shared" si="2"/>
        <v>-7</v>
      </c>
      <c r="P29" s="55" t="s">
        <v>266</v>
      </c>
    </row>
    <row r="30" spans="1:16" ht="21.75" customHeight="1" x14ac:dyDescent="0.3">
      <c r="A30" s="59" t="str">
        <f>IF(B30="","",VLOOKUP(B30,Lists!$A:$B,2,FALSE()))</f>
        <v>DRILL COLLAR</v>
      </c>
      <c r="B30" s="45" t="s">
        <v>39</v>
      </c>
      <c r="C30" s="46">
        <v>0</v>
      </c>
      <c r="D30" s="60">
        <f t="shared" ref="D30:D35" si="3">IF(B30="",0,E30+F30+G30+H30)</f>
        <v>15</v>
      </c>
      <c r="E30" s="48">
        <v>15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 t="str">
        <f t="shared" si="2"/>
        <v>OK</v>
      </c>
      <c r="P30" s="55"/>
    </row>
    <row r="31" spans="1:16" ht="21.75" customHeight="1" x14ac:dyDescent="0.3">
      <c r="A31" s="59" t="str">
        <f>IF(B31="","",VLOOKUP(B31,Lists!$A:$B,2,FALSE()))</f>
        <v>DRILL COLLAR</v>
      </c>
      <c r="B31" s="45" t="s">
        <v>41</v>
      </c>
      <c r="C31" s="46">
        <v>20</v>
      </c>
      <c r="D31" s="60">
        <f t="shared" si="3"/>
        <v>7</v>
      </c>
      <c r="E31" s="48">
        <v>7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>
        <f t="shared" si="2"/>
        <v>-13</v>
      </c>
      <c r="P31" s="55"/>
    </row>
    <row r="32" spans="1:16" ht="21.75" customHeight="1" x14ac:dyDescent="0.3">
      <c r="A32" s="59" t="str">
        <f>IF(B32="","",VLOOKUP(B32,Lists!$A:$B,2,FALSE()))</f>
        <v>DRILL COLLAR</v>
      </c>
      <c r="B32" s="45" t="s">
        <v>43</v>
      </c>
      <c r="C32" s="46">
        <v>20</v>
      </c>
      <c r="D32" s="60">
        <f t="shared" si="3"/>
        <v>12</v>
      </c>
      <c r="E32" s="48">
        <v>12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>
        <f t="shared" si="2"/>
        <v>-8</v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3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2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3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2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3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2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0</v>
      </c>
      <c r="D37" s="63">
        <f>IF(B37="",0,E37+F37+G37+H37)</f>
        <v>3</v>
      </c>
      <c r="E37" s="48">
        <v>3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4">IF(B37="","",IF((E37+F37)-C37&gt;=0,"OK",(E37+F37)-C37))</f>
        <v>OK</v>
      </c>
      <c r="P37" s="55" t="s">
        <v>221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55</v>
      </c>
      <c r="C38" s="46">
        <v>0</v>
      </c>
      <c r="D38" s="63">
        <f>IF(B38="",0,E38+F38+G38+H38)</f>
        <v>1</v>
      </c>
      <c r="E38" s="48">
        <v>1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4"/>
        <v>OK</v>
      </c>
      <c r="P38" s="55" t="s">
        <v>267</v>
      </c>
    </row>
    <row r="39" spans="1:16" ht="21.75" customHeight="1" x14ac:dyDescent="0.3">
      <c r="A39" s="62" t="str">
        <f>IF(B39="","",VLOOKUP(B39,Lists!$A:$B,2,FALSE()))</f>
        <v>PUP JOINT</v>
      </c>
      <c r="B39" s="45" t="s">
        <v>45</v>
      </c>
      <c r="C39" s="46">
        <v>0</v>
      </c>
      <c r="D39" s="63">
        <f>IF(B39="",0,E39+F39+G39+H39)</f>
        <v>1</v>
      </c>
      <c r="E39" s="48">
        <v>1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4"/>
        <v>OK</v>
      </c>
      <c r="P39" s="55" t="s">
        <v>268</v>
      </c>
    </row>
    <row r="40" spans="1:16" ht="21.75" customHeight="1" x14ac:dyDescent="0.3">
      <c r="A40" s="62" t="str">
        <f>IF(B40="","",VLOOKUP(B40,Lists!$A:$B,2,FALSE()))</f>
        <v>PUP JOINT</v>
      </c>
      <c r="B40" s="45" t="s">
        <v>54</v>
      </c>
      <c r="C40" s="46">
        <v>0</v>
      </c>
      <c r="D40" s="63">
        <f>IF(B40="",0,E40+F40+G40+H40)</f>
        <v>2</v>
      </c>
      <c r="E40" s="48">
        <v>2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4"/>
        <v>OK</v>
      </c>
      <c r="P40" s="55" t="s">
        <v>220</v>
      </c>
    </row>
    <row r="41" spans="1:16" ht="21.75" customHeight="1" x14ac:dyDescent="0.3">
      <c r="A41" s="62" t="str">
        <f>IF(B41="","",VLOOKUP(B41,Lists!$A:$B,2,FALSE()))</f>
        <v>PUP JOINT</v>
      </c>
      <c r="B41" s="45" t="s">
        <v>55</v>
      </c>
      <c r="C41" s="46">
        <v>0</v>
      </c>
      <c r="D41" s="63">
        <v>1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4"/>
        <v>OK</v>
      </c>
      <c r="P41" s="55" t="s">
        <v>269</v>
      </c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ref="D42:D49" si="5">IF(B42="",0,E42+F42+G42+H42)</f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4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5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4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5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4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5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4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5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4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5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4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5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4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5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4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 t="s">
        <v>270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DZcFaxBPRWupGpkFTvp5Jp7gplacDF9j0UFEBWkbk4E1d3etIj2d0jlQzK9IYYh7fbxVEWoUEZu+3uPQSp0tJQ==" saltValue="gW2BJNIWJvQrFdMQWyF1dQ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37" priority="2" operator="lessThan">
      <formula>0</formula>
    </cfRule>
    <cfRule type="expression" dxfId="36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0E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0E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0E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0E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5"/>
  <sheetViews>
    <sheetView zoomScaleNormal="100" workbookViewId="0">
      <pane ySplit="5" topLeftCell="A6" activePane="bottomLeft" state="frozen"/>
      <selection pane="bottomLeft" activeCell="D12" sqref="D12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271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272</v>
      </c>
      <c r="C2" s="41" t="s">
        <v>205</v>
      </c>
      <c r="D2" s="105">
        <v>46156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24</v>
      </c>
      <c r="C7" s="46">
        <v>289</v>
      </c>
      <c r="D7" s="47">
        <v>327</v>
      </c>
      <c r="E7" s="48">
        <v>325</v>
      </c>
      <c r="F7" s="49">
        <v>0</v>
      </c>
      <c r="G7" s="50">
        <v>0</v>
      </c>
      <c r="H7" s="51">
        <v>2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 t="str">
        <f t="shared" ref="O7:O19" si="0">IF(B7="","",IF((E7+F7)-C7&gt;=0,"OK",(E7+F7)-C7))</f>
        <v>OK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22</v>
      </c>
      <c r="C8" s="46">
        <v>210</v>
      </c>
      <c r="D8" s="47">
        <f t="shared" ref="D8:D19" si="1">IF(B8="",0,E8+F8+G8+H8)</f>
        <v>207</v>
      </c>
      <c r="E8" s="48">
        <v>207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>
        <f t="shared" si="0"/>
        <v>-3</v>
      </c>
      <c r="P8" s="55" t="s">
        <v>273</v>
      </c>
    </row>
    <row r="9" spans="1:16" ht="21.75" customHeight="1" x14ac:dyDescent="0.3">
      <c r="A9" s="44" t="str">
        <f>IF(B9="","",VLOOKUP(B9,Lists!$A:$B,2,FALSE()))</f>
        <v>DRILL PIPE</v>
      </c>
      <c r="B9" s="45" t="s">
        <v>16</v>
      </c>
      <c r="C9" s="46">
        <v>182</v>
      </c>
      <c r="D9" s="47">
        <f t="shared" si="1"/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>
        <f t="shared" si="0"/>
        <v>-182</v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32</v>
      </c>
      <c r="C21" s="46">
        <v>37</v>
      </c>
      <c r="D21" s="57">
        <f t="shared" ref="D21:D26" si="2">IF(B21="",0,E21+F21+G21+H21)</f>
        <v>37</v>
      </c>
      <c r="E21" s="48">
        <v>36</v>
      </c>
      <c r="F21" s="49">
        <v>0</v>
      </c>
      <c r="G21" s="50">
        <v>0</v>
      </c>
      <c r="H21" s="51">
        <v>1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>
        <f t="shared" ref="O21:O26" si="3">IF(B21="","",IF((E21+F21)-C21&gt;=0,"OK",(E21+F21)-C21))</f>
        <v>-1</v>
      </c>
      <c r="P21" s="55"/>
    </row>
    <row r="22" spans="1:16" ht="21.75" customHeight="1" x14ac:dyDescent="0.3">
      <c r="A22" s="56" t="str">
        <f>IF(B22="","",VLOOKUP(B22,Lists!$A:$B,2,FALSE()))</f>
        <v>HWDP</v>
      </c>
      <c r="B22" s="45" t="s">
        <v>29</v>
      </c>
      <c r="C22" s="46">
        <v>36</v>
      </c>
      <c r="D22" s="57">
        <f t="shared" si="2"/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>
        <f t="shared" si="3"/>
        <v>-36</v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 t="shared" si="2"/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3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 t="shared" si="2"/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3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 t="shared" si="2"/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3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 t="shared" si="2"/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3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36</v>
      </c>
      <c r="C28" s="46">
        <v>3</v>
      </c>
      <c r="D28" s="60">
        <f t="shared" ref="D28:D35" si="4">IF(B28="",0,E28+F28+G28+H28)</f>
        <v>2</v>
      </c>
      <c r="E28" s="48">
        <v>2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>
        <f t="shared" ref="O28:O35" si="5">IF(B28="","",IF((E28+F28)-C28&gt;=0,"OK",(E28+F28)-C28))</f>
        <v>-1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38</v>
      </c>
      <c r="C29" s="46">
        <v>18</v>
      </c>
      <c r="D29" s="60">
        <f t="shared" si="4"/>
        <v>23</v>
      </c>
      <c r="E29" s="48">
        <v>23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7</v>
      </c>
      <c r="N29" s="53"/>
      <c r="O29" s="61" t="str">
        <f t="shared" si="5"/>
        <v>OK</v>
      </c>
      <c r="P29" s="55" t="s">
        <v>274</v>
      </c>
    </row>
    <row r="30" spans="1:16" ht="21.75" customHeight="1" x14ac:dyDescent="0.3">
      <c r="A30" s="59" t="str">
        <f>IF(B30="","",VLOOKUP(B30,Lists!$A:$B,2,FALSE()))</f>
        <v>DRILL COLLAR</v>
      </c>
      <c r="B30" s="45" t="s">
        <v>41</v>
      </c>
      <c r="C30" s="46">
        <v>20</v>
      </c>
      <c r="D30" s="60">
        <f t="shared" si="4"/>
        <v>27</v>
      </c>
      <c r="E30" s="48">
        <v>26</v>
      </c>
      <c r="F30" s="49">
        <v>0</v>
      </c>
      <c r="G30" s="50">
        <v>0</v>
      </c>
      <c r="H30" s="51">
        <v>1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 t="str">
        <f t="shared" si="5"/>
        <v>OK</v>
      </c>
      <c r="P30" s="55"/>
    </row>
    <row r="31" spans="1:16" ht="21.75" customHeight="1" x14ac:dyDescent="0.3">
      <c r="A31" s="59" t="str">
        <f>IF(B31="","",VLOOKUP(B31,Lists!$A:$B,2,FALSE()))</f>
        <v>DRILL COLLAR</v>
      </c>
      <c r="B31" s="45" t="s">
        <v>43</v>
      </c>
      <c r="C31" s="46">
        <v>20</v>
      </c>
      <c r="D31" s="60">
        <f t="shared" si="4"/>
        <v>20</v>
      </c>
      <c r="E31" s="48">
        <v>20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5"/>
        <v>OK</v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4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5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4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5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4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5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4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5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0</v>
      </c>
      <c r="D37" s="63">
        <v>1</v>
      </c>
      <c r="E37" s="48">
        <v>1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6">IF(B37="","",IF((E37+F37)-C37&gt;=0,"OK",(E37+F37)-C37))</f>
        <v>OK</v>
      </c>
      <c r="P37" s="55" t="s">
        <v>275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54</v>
      </c>
      <c r="C38" s="46">
        <v>0</v>
      </c>
      <c r="D38" s="63">
        <v>1</v>
      </c>
      <c r="E38" s="48">
        <v>1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6"/>
        <v>OK</v>
      </c>
      <c r="P38" s="55" t="s">
        <v>221</v>
      </c>
    </row>
    <row r="39" spans="1:16" ht="21.75" customHeight="1" x14ac:dyDescent="0.3">
      <c r="A39" s="62" t="str">
        <f>IF(B39="","",VLOOKUP(B39,Lists!$A:$B,2,FALSE()))</f>
        <v>PUP JOINT</v>
      </c>
      <c r="B39" s="45" t="s">
        <v>45</v>
      </c>
      <c r="C39" s="46">
        <v>0</v>
      </c>
      <c r="D39" s="63">
        <v>1</v>
      </c>
      <c r="E39" s="48">
        <v>1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6"/>
        <v>OK</v>
      </c>
      <c r="P39" s="55" t="s">
        <v>276</v>
      </c>
    </row>
    <row r="40" spans="1:16" ht="21.75" customHeight="1" x14ac:dyDescent="0.3">
      <c r="A40" s="62" t="str">
        <f>IF(B40="","",VLOOKUP(B40,Lists!$A:$B,2,FALSE()))</f>
        <v>PUP JOINT</v>
      </c>
      <c r="B40" s="45" t="s">
        <v>46</v>
      </c>
      <c r="C40" s="46">
        <v>0</v>
      </c>
      <c r="D40" s="63">
        <v>1</v>
      </c>
      <c r="E40" s="48">
        <v>1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6"/>
        <v>OK</v>
      </c>
      <c r="P40" s="55" t="s">
        <v>275</v>
      </c>
    </row>
    <row r="41" spans="1:16" ht="21.75" customHeight="1" x14ac:dyDescent="0.3">
      <c r="A41" s="62" t="str">
        <f>IF(B41="","",VLOOKUP(B41,Lists!$A:$B,2,FALSE()))</f>
        <v>PUP JOINT</v>
      </c>
      <c r="B41" s="45" t="s">
        <v>46</v>
      </c>
      <c r="C41" s="46">
        <v>0</v>
      </c>
      <c r="D41" s="63">
        <v>1</v>
      </c>
      <c r="E41" s="48">
        <v>1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6"/>
        <v>OK</v>
      </c>
      <c r="P41" s="55" t="s">
        <v>277</v>
      </c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ref="D42:D49" si="7">IF(B42="",0,E42+F42+G42+H42)</f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6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7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6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7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6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7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6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7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6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7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6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7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6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7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6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27gKnahRjcRr35qXoQbviWM1Srm2W3S2l6due1FtFoITWqQpWiS69AtjzucwIdpS+4yplVgX6Ry9ynD7Rd4ThA==" saltValue="Y9V/gYCrd+5kF4Iu6W0Y8w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35" priority="2" operator="lessThan">
      <formula>0</formula>
    </cfRule>
    <cfRule type="expression" dxfId="34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0F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0F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0F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0F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5"/>
  <sheetViews>
    <sheetView zoomScaleNormal="100" workbookViewId="0">
      <pane ySplit="5" topLeftCell="A6" activePane="bottomLeft" state="frozen"/>
      <selection pane="bottomLeft" activeCell="D13" sqref="D13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278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279</v>
      </c>
      <c r="C2" s="41" t="s">
        <v>205</v>
      </c>
      <c r="D2" s="105">
        <v>46143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24</v>
      </c>
      <c r="C7" s="46">
        <v>260</v>
      </c>
      <c r="D7" s="47">
        <f>IF(B7="",0,E7+F7+G7+H7)</f>
        <v>359</v>
      </c>
      <c r="E7" s="48">
        <v>349</v>
      </c>
      <c r="F7" s="49">
        <v>0</v>
      </c>
      <c r="G7" s="50">
        <v>0</v>
      </c>
      <c r="H7" s="51">
        <v>10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 t="str">
        <f t="shared" ref="O7:O19" si="0">IF(B7="","",IF((E7+F7)-C7&gt;=0,"OK",(E7+F7)-C7))</f>
        <v>OK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19</v>
      </c>
      <c r="C8" s="46">
        <v>312</v>
      </c>
      <c r="D8" s="47">
        <v>349</v>
      </c>
      <c r="E8" s="48">
        <v>355</v>
      </c>
      <c r="F8" s="49">
        <v>0</v>
      </c>
      <c r="G8" s="50">
        <v>0</v>
      </c>
      <c r="H8" s="51">
        <v>4</v>
      </c>
      <c r="I8" s="52">
        <v>0</v>
      </c>
      <c r="J8" s="46">
        <v>0</v>
      </c>
      <c r="K8" s="46">
        <v>0</v>
      </c>
      <c r="L8" s="46">
        <v>91</v>
      </c>
      <c r="M8" s="46">
        <v>0</v>
      </c>
      <c r="N8" s="53"/>
      <c r="O8" s="54" t="str">
        <f t="shared" si="0"/>
        <v>OK</v>
      </c>
      <c r="P8" s="55"/>
    </row>
    <row r="9" spans="1:16" ht="21.75" customHeight="1" x14ac:dyDescent="0.3">
      <c r="A9" s="44" t="str">
        <f>IF(B9="","",VLOOKUP(B9,Lists!$A:$B,2,FALSE()))</f>
        <v>DRILL PIPE</v>
      </c>
      <c r="B9" s="45" t="s">
        <v>25</v>
      </c>
      <c r="C9" s="46">
        <v>0</v>
      </c>
      <c r="D9" s="47">
        <f t="shared" ref="D9:D19" si="1">IF(B9="",0,E9+F9+G9+H9)</f>
        <v>203</v>
      </c>
      <c r="E9" s="48">
        <v>197</v>
      </c>
      <c r="F9" s="49">
        <v>0</v>
      </c>
      <c r="G9" s="50">
        <v>0</v>
      </c>
      <c r="H9" s="51">
        <v>6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0"/>
        <v>OK</v>
      </c>
      <c r="P9" s="76" t="s">
        <v>280</v>
      </c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4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32</v>
      </c>
      <c r="C21" s="46">
        <v>42</v>
      </c>
      <c r="D21" s="57">
        <f>IF(B21="",0,E21+F21+G21+H21)</f>
        <v>99</v>
      </c>
      <c r="E21" s="48">
        <v>96</v>
      </c>
      <c r="F21" s="49">
        <v>0</v>
      </c>
      <c r="G21" s="50">
        <v>0</v>
      </c>
      <c r="H21" s="51">
        <v>3</v>
      </c>
      <c r="I21" s="52">
        <v>0</v>
      </c>
      <c r="J21" s="46">
        <v>0</v>
      </c>
      <c r="K21" s="46">
        <v>0</v>
      </c>
      <c r="L21" s="46">
        <v>0</v>
      </c>
      <c r="M21" s="46">
        <v>23</v>
      </c>
      <c r="N21" s="53"/>
      <c r="O21" s="58" t="str">
        <f t="shared" ref="O21:O26" si="2">IF(B21="","",IF((E21+F21)-C21&gt;=0,"OK",(E21+F21)-C21))</f>
        <v>OK</v>
      </c>
      <c r="P21" s="55" t="s">
        <v>281</v>
      </c>
    </row>
    <row r="22" spans="1:16" ht="21.75" customHeight="1" x14ac:dyDescent="0.3">
      <c r="A22" s="56" t="str">
        <f>IF(B22="","",VLOOKUP(B22,Lists!$A:$B,2,FALSE()))</f>
        <v>HWDP</v>
      </c>
      <c r="B22" s="45" t="s">
        <v>31</v>
      </c>
      <c r="C22" s="46">
        <v>42</v>
      </c>
      <c r="D22" s="57">
        <v>1</v>
      </c>
      <c r="E22" s="48">
        <v>1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47</v>
      </c>
      <c r="M22" s="46">
        <v>0</v>
      </c>
      <c r="N22" s="53"/>
      <c r="O22" s="58">
        <f t="shared" si="2"/>
        <v>-41</v>
      </c>
      <c r="P22" s="55" t="s">
        <v>282</v>
      </c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36</v>
      </c>
      <c r="C28" s="46">
        <v>3</v>
      </c>
      <c r="D28" s="60">
        <f t="shared" ref="D28:D35" si="3">IF(B28="",0,E28+F28+G28+H28)</f>
        <v>6</v>
      </c>
      <c r="E28" s="48">
        <v>6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4">IF(B28="","",IF((E28+F28)-C28&gt;=0,"OK",(E28+F28)-C28))</f>
        <v>OK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38</v>
      </c>
      <c r="C29" s="46">
        <v>30</v>
      </c>
      <c r="D29" s="60">
        <f t="shared" si="3"/>
        <v>26</v>
      </c>
      <c r="E29" s="48">
        <v>26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>
        <f t="shared" si="4"/>
        <v>-4</v>
      </c>
      <c r="P29" s="55"/>
    </row>
    <row r="30" spans="1:16" ht="21.75" customHeight="1" x14ac:dyDescent="0.3">
      <c r="A30" s="59" t="str">
        <f>IF(B30="","",VLOOKUP(B30,Lists!$A:$B,2,FALSE()))</f>
        <v>DRILL COLLAR</v>
      </c>
      <c r="B30" s="45" t="s">
        <v>39</v>
      </c>
      <c r="C30" s="46">
        <v>30</v>
      </c>
      <c r="D30" s="60">
        <f t="shared" si="3"/>
        <v>30</v>
      </c>
      <c r="E30" s="48">
        <v>29</v>
      </c>
      <c r="F30" s="49">
        <v>0</v>
      </c>
      <c r="G30" s="50">
        <v>0</v>
      </c>
      <c r="H30" s="51">
        <v>1</v>
      </c>
      <c r="I30" s="52">
        <v>0</v>
      </c>
      <c r="J30" s="46">
        <v>0</v>
      </c>
      <c r="K30" s="46">
        <v>0</v>
      </c>
      <c r="L30" s="46">
        <v>2</v>
      </c>
      <c r="M30" s="46">
        <v>15</v>
      </c>
      <c r="N30" s="53"/>
      <c r="O30" s="61">
        <f t="shared" si="4"/>
        <v>-1</v>
      </c>
      <c r="P30" s="55" t="s">
        <v>283</v>
      </c>
    </row>
    <row r="31" spans="1:16" ht="21.75" customHeight="1" x14ac:dyDescent="0.3">
      <c r="A31" s="59" t="str">
        <f>IF(B31="","",VLOOKUP(B31,Lists!$A:$B,2,FALSE()))</f>
        <v>DRILL COLLAR</v>
      </c>
      <c r="B31" s="45" t="s">
        <v>43</v>
      </c>
      <c r="C31" s="46">
        <v>21</v>
      </c>
      <c r="D31" s="60">
        <f t="shared" si="3"/>
        <v>19</v>
      </c>
      <c r="E31" s="48">
        <v>19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>
        <f t="shared" si="4"/>
        <v>-2</v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3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4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3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4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3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4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3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4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2</v>
      </c>
      <c r="D37" s="63">
        <f>IF(B37="",0,E37+F37+G37+H37)</f>
        <v>3</v>
      </c>
      <c r="E37" s="48">
        <v>3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5">IF(B37="","",IF((E37+F37)-C37&gt;=0,"OK",(E37+F37)-C37))</f>
        <v>OK</v>
      </c>
      <c r="P37" s="55" t="s">
        <v>220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54</v>
      </c>
      <c r="C38" s="46">
        <v>2</v>
      </c>
      <c r="D38" s="63">
        <f>IF(B38="",0,E38+F38+G38+H38)</f>
        <v>6</v>
      </c>
      <c r="E38" s="48">
        <v>6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5"/>
        <v>OK</v>
      </c>
      <c r="P38" s="55" t="s">
        <v>221</v>
      </c>
    </row>
    <row r="39" spans="1:16" ht="21.75" customHeight="1" x14ac:dyDescent="0.3">
      <c r="A39" s="62" t="str">
        <f>IF(B39="","",VLOOKUP(B39,Lists!$A:$B,2,FALSE()))</f>
        <v>PUP JOINT</v>
      </c>
      <c r="B39" s="45" t="s">
        <v>54</v>
      </c>
      <c r="C39" s="46">
        <v>2</v>
      </c>
      <c r="D39" s="63"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>
        <f t="shared" si="5"/>
        <v>-2</v>
      </c>
      <c r="P39" s="55" t="s">
        <v>222</v>
      </c>
    </row>
    <row r="40" spans="1:16" ht="21.75" customHeight="1" x14ac:dyDescent="0.3">
      <c r="A40" s="62" t="str">
        <f>IF(B40="","",VLOOKUP(B40,Lists!$A:$B,2,FALSE()))</f>
        <v>PUP JOINT</v>
      </c>
      <c r="B40" s="45" t="s">
        <v>49</v>
      </c>
      <c r="C40" s="46">
        <v>2</v>
      </c>
      <c r="D40" s="63">
        <f t="shared" ref="D40:D49" si="6">IF(B40="",0,E40+F40+G40+H40)</f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>
        <f t="shared" si="5"/>
        <v>-2</v>
      </c>
      <c r="P40" s="55" t="s">
        <v>220</v>
      </c>
    </row>
    <row r="41" spans="1:16" ht="21.75" customHeight="1" x14ac:dyDescent="0.3">
      <c r="A41" s="62" t="str">
        <f>IF(B41="","",VLOOKUP(B41,Lists!$A:$B,2,FALSE()))</f>
        <v>PUP JOINT</v>
      </c>
      <c r="B41" s="45" t="s">
        <v>49</v>
      </c>
      <c r="C41" s="46">
        <v>2</v>
      </c>
      <c r="D41" s="63">
        <f t="shared" si="6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>
        <f t="shared" si="5"/>
        <v>-2</v>
      </c>
      <c r="P41" s="55" t="s">
        <v>221</v>
      </c>
    </row>
    <row r="42" spans="1:16" ht="21.75" customHeight="1" x14ac:dyDescent="0.3">
      <c r="A42" s="62" t="str">
        <f>IF(B42="","",VLOOKUP(B42,Lists!$A:$B,2,FALSE()))</f>
        <v>PUP JOINT</v>
      </c>
      <c r="B42" s="45" t="s">
        <v>49</v>
      </c>
      <c r="C42" s="46">
        <v>2</v>
      </c>
      <c r="D42" s="63">
        <f t="shared" si="6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>
        <f t="shared" si="5"/>
        <v>-2</v>
      </c>
      <c r="P42" s="55" t="s">
        <v>222</v>
      </c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6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5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6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5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6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5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6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5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6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5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6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5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6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5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udr6lTB0kBTXlML+9bYezLuYyU1+wJIC9ThRqkoT9cEoPub2fdiqI+HrYk4upxsJGWGmlaRgz0+WbKFGG6yqrQ==" saltValue="dxCZPekgjtJeUJ76silcgQ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33" priority="2" operator="lessThan">
      <formula>0</formula>
    </cfRule>
    <cfRule type="expression" dxfId="32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10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10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10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10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55"/>
  <sheetViews>
    <sheetView zoomScaleNormal="100" workbookViewId="0">
      <pane ySplit="5" topLeftCell="A6" activePane="bottomLeft" state="frozen"/>
      <selection pane="bottomLeft" activeCell="D2" sqref="D2:E2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284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285</v>
      </c>
      <c r="C2" s="41" t="s">
        <v>205</v>
      </c>
      <c r="D2" s="105">
        <v>46161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26</v>
      </c>
      <c r="C7" s="46">
        <v>364</v>
      </c>
      <c r="D7" s="47">
        <v>264</v>
      </c>
      <c r="E7" s="48">
        <v>197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66</v>
      </c>
      <c r="L7" s="46">
        <v>0</v>
      </c>
      <c r="M7" s="46">
        <v>0</v>
      </c>
      <c r="N7" s="53"/>
      <c r="O7" s="54">
        <f t="shared" ref="O7:O19" si="0">IF(B7="","",IF((E7+F7)-C7&gt;=0,"OK",(E7+F7)-C7))</f>
        <v>-167</v>
      </c>
      <c r="P7" s="55" t="s">
        <v>286</v>
      </c>
    </row>
    <row r="8" spans="1:16" ht="21.75" customHeight="1" x14ac:dyDescent="0.3">
      <c r="A8" s="44" t="str">
        <f>IF(B8="","",VLOOKUP(B8,Lists!$A:$B,2,FALSE()))</f>
        <v>DRILL PIPE</v>
      </c>
      <c r="B8" s="45" t="s">
        <v>25</v>
      </c>
      <c r="C8" s="46">
        <v>0</v>
      </c>
      <c r="D8" s="47">
        <f t="shared" ref="D8:D19" si="1">IF(B8="",0,E8+F8+G8+H8)</f>
        <v>75</v>
      </c>
      <c r="E8" s="48">
        <v>75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75</v>
      </c>
      <c r="N8" s="53"/>
      <c r="O8" s="54" t="str">
        <f t="shared" si="0"/>
        <v>OK</v>
      </c>
      <c r="P8" s="55" t="s">
        <v>287</v>
      </c>
    </row>
    <row r="9" spans="1:16" ht="21.75" customHeight="1" x14ac:dyDescent="0.3">
      <c r="A9" s="44" t="str">
        <f>IF(B9="","",VLOOKUP(B9,Lists!$A:$B,2,FALSE()))</f>
        <v>DRILL PIPE</v>
      </c>
      <c r="B9" s="45" t="s">
        <v>24</v>
      </c>
      <c r="C9" s="46">
        <v>0</v>
      </c>
      <c r="D9" s="47">
        <f t="shared" si="1"/>
        <v>200</v>
      </c>
      <c r="E9" s="48">
        <v>200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200</v>
      </c>
      <c r="N9" s="53"/>
      <c r="O9" s="54" t="str">
        <f t="shared" si="0"/>
        <v>OK</v>
      </c>
      <c r="P9" s="55" t="s">
        <v>288</v>
      </c>
    </row>
    <row r="10" spans="1:16" ht="21.75" customHeight="1" x14ac:dyDescent="0.3">
      <c r="A10" s="44" t="str">
        <f>IF(B10="","",VLOOKUP(B10,Lists!$A:$B,2,FALSE()))</f>
        <v>DRILL PIPE</v>
      </c>
      <c r="B10" s="45" t="s">
        <v>21</v>
      </c>
      <c r="C10" s="46">
        <v>62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>
        <f t="shared" si="0"/>
        <v>-62</v>
      </c>
      <c r="P10" s="55" t="s">
        <v>289</v>
      </c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x14ac:dyDescent="0.3">
      <c r="A21" s="56" t="str">
        <f>IF(B21="","",VLOOKUP(B21,Lists!$A:$B,2,FALSE()))</f>
        <v>HWDP</v>
      </c>
      <c r="B21" s="45" t="s">
        <v>32</v>
      </c>
      <c r="C21" s="46">
        <v>45</v>
      </c>
      <c r="D21" s="57">
        <v>45</v>
      </c>
      <c r="E21" s="48">
        <v>31</v>
      </c>
      <c r="F21" s="49">
        <v>0</v>
      </c>
      <c r="G21" s="50">
        <v>0</v>
      </c>
      <c r="H21" s="51">
        <v>0</v>
      </c>
      <c r="I21" s="52">
        <v>6</v>
      </c>
      <c r="J21" s="46">
        <v>8</v>
      </c>
      <c r="K21" s="46">
        <v>0</v>
      </c>
      <c r="L21" s="46">
        <v>0</v>
      </c>
      <c r="M21" s="46">
        <v>0</v>
      </c>
      <c r="N21" s="53"/>
      <c r="O21" s="58">
        <f t="shared" ref="O21:O26" si="2">IF(B21="","",IF((E21+F21)-C21&gt;=0,"OK",(E21+F21)-C21))</f>
        <v>-14</v>
      </c>
      <c r="P21" s="55"/>
    </row>
    <row r="22" spans="1:16" ht="21.75" customHeight="1" x14ac:dyDescent="0.3">
      <c r="A22" s="56" t="str">
        <f>IF(B22="","",VLOOKUP(B22,Lists!$A:$B,2,FALSE()))</f>
        <v>HWDP</v>
      </c>
      <c r="B22" s="45" t="s">
        <v>31</v>
      </c>
      <c r="C22" s="46">
        <v>51</v>
      </c>
      <c r="D22" s="57">
        <f>IF(B22="",0,E22+F22+G22+H22)</f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90</v>
      </c>
      <c r="M22" s="46">
        <v>0</v>
      </c>
      <c r="N22" s="53"/>
      <c r="O22" s="58">
        <f t="shared" si="2"/>
        <v>-51</v>
      </c>
      <c r="P22" s="55" t="s">
        <v>290</v>
      </c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36</v>
      </c>
      <c r="C28" s="46">
        <v>4</v>
      </c>
      <c r="D28" s="60">
        <f>IF(B28="",0,E28+F28+G28+H28)</f>
        <v>4</v>
      </c>
      <c r="E28" s="48">
        <v>4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3">IF(B28="","",IF((E28+F28)-C28&gt;=0,"OK",(E28+F28)-C28))</f>
        <v>OK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38</v>
      </c>
      <c r="C29" s="46">
        <v>15</v>
      </c>
      <c r="D29" s="60">
        <f>IF(B29="",0,E29+F29+G29+H29)</f>
        <v>17</v>
      </c>
      <c r="E29" s="48">
        <v>17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1</v>
      </c>
      <c r="L29" s="46">
        <v>0</v>
      </c>
      <c r="M29" s="46">
        <v>0</v>
      </c>
      <c r="N29" s="53"/>
      <c r="O29" s="61" t="str">
        <f t="shared" si="3"/>
        <v>OK</v>
      </c>
      <c r="P29" s="55"/>
    </row>
    <row r="30" spans="1:16" ht="21.75" customHeight="1" x14ac:dyDescent="0.3">
      <c r="A30" s="59" t="str">
        <f>IF(B30="","",VLOOKUP(B30,Lists!$A:$B,2,FALSE()))</f>
        <v>DRILL COLLAR</v>
      </c>
      <c r="B30" s="45" t="s">
        <v>41</v>
      </c>
      <c r="C30" s="46">
        <v>25</v>
      </c>
      <c r="D30" s="60">
        <v>25</v>
      </c>
      <c r="E30" s="48">
        <v>24</v>
      </c>
      <c r="F30" s="49">
        <v>0</v>
      </c>
      <c r="G30" s="50">
        <v>0</v>
      </c>
      <c r="H30" s="51">
        <v>0</v>
      </c>
      <c r="I30" s="52">
        <v>0</v>
      </c>
      <c r="J30" s="46">
        <v>1</v>
      </c>
      <c r="K30" s="46">
        <v>0</v>
      </c>
      <c r="L30" s="46">
        <v>0</v>
      </c>
      <c r="M30" s="46">
        <v>25</v>
      </c>
      <c r="N30" s="53"/>
      <c r="O30" s="61">
        <f t="shared" si="3"/>
        <v>-1</v>
      </c>
      <c r="P30" s="55" t="s">
        <v>291</v>
      </c>
    </row>
    <row r="31" spans="1:16" ht="21.75" customHeight="1" x14ac:dyDescent="0.3">
      <c r="A31" s="59" t="str">
        <f>IF(B31="","",VLOOKUP(B31,Lists!$A:$B,2,FALSE()))</f>
        <v>DRILL COLLAR</v>
      </c>
      <c r="B31" s="45" t="s">
        <v>42</v>
      </c>
      <c r="C31" s="46">
        <v>6</v>
      </c>
      <c r="D31" s="60">
        <f>IF(B31="",0,E31+F31+G31+H31)</f>
        <v>4</v>
      </c>
      <c r="E31" s="48">
        <v>4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>
        <f t="shared" si="3"/>
        <v>-2</v>
      </c>
      <c r="P31" s="55" t="s">
        <v>292</v>
      </c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>IF(B32="",0,E32+F32+G32+H32)</f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3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>IF(B33="",0,E33+F33+G33+H33)</f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3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>IF(B34="",0,E34+F34+G34+H34)</f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>IF(B35="",0,E35+F35+G35+H35)</f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56</v>
      </c>
      <c r="C37" s="46">
        <v>2</v>
      </c>
      <c r="D37" s="63">
        <f>IF(B37="",0,E37+F37+G37+H37)</f>
        <v>4</v>
      </c>
      <c r="E37" s="48">
        <v>4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4">IF(B37="","",IF((E37+F37)-C37&gt;=0,"OK",(E37+F37)-C37))</f>
        <v>OK</v>
      </c>
      <c r="P37" s="55" t="s">
        <v>220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56</v>
      </c>
      <c r="C38" s="46">
        <v>0</v>
      </c>
      <c r="D38" s="63">
        <v>2</v>
      </c>
      <c r="E38" s="48">
        <v>2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4"/>
        <v>OK</v>
      </c>
      <c r="P38" s="55" t="s">
        <v>221</v>
      </c>
    </row>
    <row r="39" spans="1:16" ht="21.75" customHeight="1" x14ac:dyDescent="0.3">
      <c r="A39" s="62" t="str">
        <f>IF(B39="","",VLOOKUP(B39,Lists!$A:$B,2,FALSE()))</f>
        <v>PUP JOINT</v>
      </c>
      <c r="B39" s="45" t="s">
        <v>56</v>
      </c>
      <c r="C39" s="46">
        <v>0</v>
      </c>
      <c r="D39" s="63">
        <f t="shared" ref="D39:D49" si="5">IF(B39="",0,E39+F39+G39+H39)</f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4"/>
        <v>OK</v>
      </c>
      <c r="P39" s="55" t="s">
        <v>222</v>
      </c>
    </row>
    <row r="40" spans="1:16" ht="21.75" customHeight="1" x14ac:dyDescent="0.3">
      <c r="A40" s="62" t="str">
        <f>IF(B40="","",VLOOKUP(B40,Lists!$A:$B,2,FALSE()))</f>
        <v>PUP JOINT</v>
      </c>
      <c r="B40" s="45" t="s">
        <v>56</v>
      </c>
      <c r="C40" s="46">
        <v>0</v>
      </c>
      <c r="D40" s="63">
        <f t="shared" si="5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4"/>
        <v>OK</v>
      </c>
      <c r="P40" s="55" t="s">
        <v>275</v>
      </c>
    </row>
    <row r="41" spans="1:16" ht="21.75" customHeight="1" x14ac:dyDescent="0.3">
      <c r="A41" s="62" t="str">
        <f>IF(B41="","",VLOOKUP(B41,Lists!$A:$B,2,FALSE()))</f>
        <v>PUP JOINT</v>
      </c>
      <c r="B41" s="45" t="s">
        <v>51</v>
      </c>
      <c r="C41" s="46">
        <v>2</v>
      </c>
      <c r="D41" s="63">
        <f t="shared" si="5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>
        <f t="shared" si="4"/>
        <v>-2</v>
      </c>
      <c r="P41" s="55" t="s">
        <v>220</v>
      </c>
    </row>
    <row r="42" spans="1:16" ht="21.75" customHeight="1" x14ac:dyDescent="0.3">
      <c r="A42" s="62" t="str">
        <f>IF(B42="","",VLOOKUP(B42,Lists!$A:$B,2,FALSE()))</f>
        <v>PUP JOINT</v>
      </c>
      <c r="B42" s="45" t="s">
        <v>51</v>
      </c>
      <c r="C42" s="46">
        <v>0</v>
      </c>
      <c r="D42" s="63">
        <f t="shared" si="5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4"/>
        <v>OK</v>
      </c>
      <c r="P42" s="55" t="s">
        <v>221</v>
      </c>
    </row>
    <row r="43" spans="1:16" ht="21.75" customHeight="1" x14ac:dyDescent="0.3">
      <c r="A43" s="62" t="str">
        <f>IF(B43="","",VLOOKUP(B43,Lists!$A:$B,2,FALSE()))</f>
        <v>PUP JOINT</v>
      </c>
      <c r="B43" s="45" t="s">
        <v>51</v>
      </c>
      <c r="C43" s="46">
        <v>0</v>
      </c>
      <c r="D43" s="63">
        <f t="shared" si="5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4"/>
        <v>OK</v>
      </c>
      <c r="P43" s="55" t="s">
        <v>222</v>
      </c>
    </row>
    <row r="44" spans="1:16" ht="21.75" customHeight="1" x14ac:dyDescent="0.3">
      <c r="A44" s="62" t="str">
        <f>IF(B44="","",VLOOKUP(B44,Lists!$A:$B,2,FALSE()))</f>
        <v>PUP JOINT</v>
      </c>
      <c r="B44" s="45" t="s">
        <v>51</v>
      </c>
      <c r="C44" s="46">
        <v>0</v>
      </c>
      <c r="D44" s="63">
        <f t="shared" si="5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4"/>
        <v>OK</v>
      </c>
      <c r="P44" s="55" t="s">
        <v>275</v>
      </c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5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4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5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4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5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4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5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4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5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4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 t="s">
        <v>293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GXVlYQYFvOHGgxhtjfeKfW8dE/LMO80kgmkvVEqJhf+LqJ61uh/QTjvoxkkkWQQjsQxF33D+Du4Y6Riq3UJzxQ==" saltValue="ZfvjHb9Qmpd1jAx8Y69mXw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31" priority="2" operator="lessThan">
      <formula>0</formula>
    </cfRule>
    <cfRule type="expression" dxfId="30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11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11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11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11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5"/>
  <sheetViews>
    <sheetView zoomScaleNormal="100" workbookViewId="0">
      <pane ySplit="5" topLeftCell="A48" activePane="bottomLeft" state="frozen"/>
      <selection pane="bottomLeft" activeCell="B10" sqref="B10 E10:H10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294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295</v>
      </c>
      <c r="C2" s="41" t="s">
        <v>205</v>
      </c>
      <c r="D2" s="105">
        <v>46173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/>
      </c>
      <c r="B7" s="45"/>
      <c r="C7" s="46">
        <v>0</v>
      </c>
      <c r="D7" s="47">
        <f t="shared" ref="D7:D19" si="0">IF(B7="",0,E7+F7+G7+H7)</f>
        <v>0</v>
      </c>
      <c r="E7" s="48">
        <v>0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 t="str">
        <f t="shared" ref="O7:O19" si="1">IF(B7="","",IF((E7+F7)-C7&gt;=0,"OK",(E7+F7)-C7))</f>
        <v/>
      </c>
      <c r="P7" s="55"/>
    </row>
    <row r="8" spans="1:16" ht="21.75" customHeight="1" x14ac:dyDescent="0.3">
      <c r="A8" s="44" t="str">
        <f>IF(B8="","",VLOOKUP(B8,Lists!$A:$B,2,FALSE()))</f>
        <v/>
      </c>
      <c r="B8" s="45"/>
      <c r="C8" s="46">
        <v>0</v>
      </c>
      <c r="D8" s="47">
        <f t="shared" si="0"/>
        <v>0</v>
      </c>
      <c r="E8" s="48">
        <v>0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 t="str">
        <f t="shared" si="1"/>
        <v/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si="0"/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1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0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1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0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1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0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1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0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1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0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1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0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1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0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1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0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1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0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1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0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1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/>
      </c>
      <c r="B21" s="45"/>
      <c r="C21" s="46">
        <v>0</v>
      </c>
      <c r="D21" s="57">
        <f t="shared" ref="D21:D26" si="2">IF(B21="",0,E21+F21+G21+H21)</f>
        <v>0</v>
      </c>
      <c r="E21" s="48">
        <v>0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 t="str">
        <f t="shared" ref="O21:O26" si="3">IF(B21="","",IF((E21+F21)-C21&gt;=0,"OK",(E21+F21)-C21))</f>
        <v/>
      </c>
      <c r="P21" s="55"/>
    </row>
    <row r="22" spans="1:16" ht="21.75" customHeight="1" x14ac:dyDescent="0.3">
      <c r="A22" s="56" t="str">
        <f>IF(B22="","",VLOOKUP(B22,Lists!$A:$B,2,FALSE()))</f>
        <v/>
      </c>
      <c r="B22" s="45"/>
      <c r="C22" s="46">
        <v>0</v>
      </c>
      <c r="D22" s="57">
        <f t="shared" si="2"/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3"/>
        <v/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 t="shared" si="2"/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3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 t="shared" si="2"/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3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 t="shared" si="2"/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3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 t="shared" si="2"/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3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/>
      </c>
      <c r="B28" s="45"/>
      <c r="C28" s="46">
        <v>0</v>
      </c>
      <c r="D28" s="60">
        <f t="shared" ref="D28:D35" si="4">IF(B28="",0,E28+F28+G28+H28)</f>
        <v>0</v>
      </c>
      <c r="E28" s="48">
        <v>0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5">IF(B28="","",IF((E28+F28)-C28&gt;=0,"OK",(E28+F28)-C28))</f>
        <v/>
      </c>
      <c r="P28" s="55"/>
    </row>
    <row r="29" spans="1:16" ht="21.75" customHeight="1" x14ac:dyDescent="0.3">
      <c r="A29" s="59" t="str">
        <f>IF(B29="","",VLOOKUP(B29,Lists!$A:$B,2,FALSE()))</f>
        <v/>
      </c>
      <c r="B29" s="45"/>
      <c r="C29" s="46">
        <v>0</v>
      </c>
      <c r="D29" s="60">
        <f t="shared" si="4"/>
        <v>0</v>
      </c>
      <c r="E29" s="48">
        <v>0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 t="str">
        <f t="shared" si="5"/>
        <v/>
      </c>
      <c r="P29" s="55"/>
    </row>
    <row r="30" spans="1:16" ht="21.75" customHeight="1" x14ac:dyDescent="0.3">
      <c r="A30" s="59" t="str">
        <f>IF(B30="","",VLOOKUP(B30,Lists!$A:$B,2,FALSE()))</f>
        <v/>
      </c>
      <c r="B30" s="45"/>
      <c r="C30" s="46">
        <v>0</v>
      </c>
      <c r="D30" s="60">
        <f t="shared" si="4"/>
        <v>0</v>
      </c>
      <c r="E30" s="48">
        <v>0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 t="str">
        <f t="shared" si="5"/>
        <v/>
      </c>
      <c r="P30" s="55"/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 t="shared" si="4"/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5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4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5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4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5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4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5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4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5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/>
      </c>
      <c r="B37" s="45"/>
      <c r="C37" s="46">
        <v>0</v>
      </c>
      <c r="D37" s="63">
        <f t="shared" ref="D37:D49" si="6">IF(B37="",0,E37+F37+G37+H37)</f>
        <v>0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7">IF(B37="","",IF((E37+F37)-C37&gt;=0,"OK",(E37+F37)-C37))</f>
        <v/>
      </c>
      <c r="P37" s="55"/>
    </row>
    <row r="38" spans="1:16" ht="21.75" customHeight="1" x14ac:dyDescent="0.3">
      <c r="A38" s="62" t="str">
        <f>IF(B38="","",VLOOKUP(B38,Lists!$A:$B,2,FALSE()))</f>
        <v/>
      </c>
      <c r="B38" s="45"/>
      <c r="C38" s="46">
        <v>0</v>
      </c>
      <c r="D38" s="63">
        <f t="shared" si="6"/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7"/>
        <v/>
      </c>
      <c r="P38" s="55"/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si="6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7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6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7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6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7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6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7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6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7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6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7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6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7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6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7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6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7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6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7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6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7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xLtcJaE9wCtn5FX+cGy9Lr7V3d1bWzhqo/VUKGo+ibj3HWkKrtXLNOBFiryDTAhkP6IFGh6Jhi3Ebb7LCEPTrg==" saltValue="8MJq3iG1UlT5PSi6WQOiew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29" priority="2" operator="lessThan">
      <formula>0</formula>
    </cfRule>
    <cfRule type="expression" dxfId="28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12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12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12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12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5"/>
  <sheetViews>
    <sheetView zoomScaleNormal="100" workbookViewId="0">
      <pane ySplit="5" topLeftCell="A6" activePane="bottomLeft" state="frozen"/>
      <selection pane="bottomLeft" activeCell="B25" sqref="B25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296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297</v>
      </c>
      <c r="C2" s="41" t="s">
        <v>205</v>
      </c>
      <c r="D2" s="105">
        <v>46143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27</v>
      </c>
      <c r="C7" s="46">
        <v>350</v>
      </c>
      <c r="D7" s="47">
        <f t="shared" ref="D7:D19" si="0">IF(B7="",0,E7+F7+G7+H7)</f>
        <v>411</v>
      </c>
      <c r="E7" s="48">
        <v>411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 t="str">
        <f t="shared" ref="O7:O19" si="1">IF(B7="","",IF((E7+F7)-C7&gt;=0,"OK",(E7+F7)-C7))</f>
        <v>OK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21</v>
      </c>
      <c r="C8" s="46">
        <v>206</v>
      </c>
      <c r="D8" s="47">
        <f t="shared" si="0"/>
        <v>265</v>
      </c>
      <c r="E8" s="48">
        <v>265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 t="str">
        <f t="shared" si="1"/>
        <v>OK</v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si="0"/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1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0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1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0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1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0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1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0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1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0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1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0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1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0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1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0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1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0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1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0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1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34</v>
      </c>
      <c r="C21" s="46">
        <v>51</v>
      </c>
      <c r="D21" s="57">
        <f t="shared" ref="D21:D26" si="2">IF(B21="",0,E21+F21+G21+H21)</f>
        <v>58</v>
      </c>
      <c r="E21" s="48">
        <v>58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 t="str">
        <f t="shared" ref="O21:O26" si="3">IF(B21="","",IF((E21+F21)-C21&gt;=0,"OK",(E21+F21)-C21))</f>
        <v>OK</v>
      </c>
      <c r="P21" s="55"/>
    </row>
    <row r="22" spans="1:16" ht="21.75" customHeight="1" x14ac:dyDescent="0.3">
      <c r="A22" s="56" t="str">
        <f>IF(B22="","",VLOOKUP(B22,Lists!$A:$B,2,FALSE()))</f>
        <v>HWDP</v>
      </c>
      <c r="B22" s="45" t="s">
        <v>30</v>
      </c>
      <c r="C22" s="46">
        <v>45</v>
      </c>
      <c r="D22" s="57">
        <f t="shared" si="2"/>
        <v>48</v>
      </c>
      <c r="E22" s="48">
        <v>48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3"/>
        <v>OK</v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 t="shared" si="2"/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3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 t="shared" si="2"/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3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 t="shared" si="2"/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3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 t="shared" si="2"/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3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36</v>
      </c>
      <c r="C28" s="46">
        <v>9</v>
      </c>
      <c r="D28" s="60">
        <f>IF(B28="",0,E28+F28+G28+H28)</f>
        <v>4</v>
      </c>
      <c r="E28" s="48">
        <v>4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>
        <f t="shared" ref="O28:O35" si="4">IF(B28="","",IF((E28+F28)-C28&gt;=0,"OK",(E28+F28)-C28))</f>
        <v>-5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37</v>
      </c>
      <c r="C29" s="46">
        <v>24</v>
      </c>
      <c r="D29" s="60">
        <v>18</v>
      </c>
      <c r="E29" s="48">
        <v>4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14</v>
      </c>
      <c r="N29" s="53"/>
      <c r="O29" s="61">
        <f t="shared" si="4"/>
        <v>-20</v>
      </c>
      <c r="P29" s="55" t="s">
        <v>298</v>
      </c>
    </row>
    <row r="30" spans="1:16" ht="21.75" customHeight="1" x14ac:dyDescent="0.3">
      <c r="A30" s="59" t="str">
        <f>IF(B30="","",VLOOKUP(B30,Lists!$A:$B,2,FALSE()))</f>
        <v>DRILL COLLAR</v>
      </c>
      <c r="B30" s="45" t="s">
        <v>40</v>
      </c>
      <c r="C30" s="46">
        <v>24</v>
      </c>
      <c r="D30" s="60">
        <f t="shared" ref="D30:D35" si="5">IF(B30="",0,E30+F30+G30+H30)</f>
        <v>7</v>
      </c>
      <c r="E30" s="48">
        <v>7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7</v>
      </c>
      <c r="N30" s="53"/>
      <c r="O30" s="61">
        <f t="shared" si="4"/>
        <v>-17</v>
      </c>
      <c r="P30" s="55" t="s">
        <v>299</v>
      </c>
    </row>
    <row r="31" spans="1:16" ht="21.75" customHeight="1" x14ac:dyDescent="0.3">
      <c r="A31" s="59" t="str">
        <f>IF(B31="","",VLOOKUP(B31,Lists!$A:$B,2,FALSE()))</f>
        <v>DRILL COLLAR</v>
      </c>
      <c r="B31" s="45" t="s">
        <v>43</v>
      </c>
      <c r="C31" s="46">
        <v>24</v>
      </c>
      <c r="D31" s="60">
        <f t="shared" si="5"/>
        <v>10</v>
      </c>
      <c r="E31" s="48">
        <v>10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>
        <f t="shared" si="4"/>
        <v>-14</v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5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4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5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4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5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4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5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4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/>
      </c>
      <c r="B37" s="45"/>
      <c r="C37" s="46">
        <v>0</v>
      </c>
      <c r="D37" s="63">
        <f t="shared" ref="D37:D49" si="6">IF(B37="",0,E37+F37+G37+H37)</f>
        <v>0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7">IF(B37="","",IF((E37+F37)-C37&gt;=0,"OK",(E37+F37)-C37))</f>
        <v/>
      </c>
      <c r="P37" s="55"/>
    </row>
    <row r="38" spans="1:16" ht="21.75" customHeight="1" x14ac:dyDescent="0.3">
      <c r="A38" s="62" t="str">
        <f>IF(B38="","",VLOOKUP(B38,Lists!$A:$B,2,FALSE()))</f>
        <v/>
      </c>
      <c r="B38" s="45"/>
      <c r="C38" s="46">
        <v>0</v>
      </c>
      <c r="D38" s="63">
        <f t="shared" si="6"/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7"/>
        <v/>
      </c>
      <c r="P38" s="55"/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si="6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7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6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7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6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7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6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7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6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7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6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7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6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7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6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7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6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7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6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7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6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7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kghIfL8JIB6pud9JYACZztKTDw1eOWgakgxYREXlgGLUJw+YeDBGMHc6LB1kX2k2uSWG7O3AFGivkJhJbZ2Zfw==" saltValue="UZoey82OmDb2MqhAwbWAsg==" spinCount="100000" sheet="1" objects="1" scenarios="1"/>
  <protectedRanges>
    <protectedRange sqref="A1:A1048576 B1:B1048576 E1:E1048576 F1:F1048576 G1:G1048576 H1:H1048576 I1:I1048576 J1:J1048576 A1:P1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27" priority="2" operator="lessThan">
      <formula>0</formula>
    </cfRule>
    <cfRule type="expression" dxfId="26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13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13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13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13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5"/>
  <sheetViews>
    <sheetView zoomScaleNormal="100" workbookViewId="0">
      <pane ySplit="5" topLeftCell="A6" activePane="bottomLeft" state="frozen"/>
      <selection pane="bottomLeft" activeCell="B8" sqref="B8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300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301</v>
      </c>
      <c r="C2" s="41" t="s">
        <v>205</v>
      </c>
      <c r="D2" s="105">
        <v>46173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27</v>
      </c>
      <c r="C7" s="46">
        <v>0</v>
      </c>
      <c r="D7" s="47">
        <v>340</v>
      </c>
      <c r="E7" s="48">
        <v>0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 t="str">
        <f t="shared" ref="O7:O19" si="0">IF(B7="","",IF((E7+F7)-C7&gt;=0,"OK",(E7+F7)-C7))</f>
        <v>OK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22</v>
      </c>
      <c r="C8" s="46">
        <v>0</v>
      </c>
      <c r="D8" s="47">
        <v>206</v>
      </c>
      <c r="E8" s="48">
        <v>0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 t="str">
        <f t="shared" si="0"/>
        <v>OK</v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ref="D9:D19" si="1">IF(B9="",0,E9+F9+G9+H9)</f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0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34</v>
      </c>
      <c r="C21" s="46">
        <v>45</v>
      </c>
      <c r="D21" s="57">
        <v>54</v>
      </c>
      <c r="E21" s="48">
        <v>0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>
        <f t="shared" ref="O21:O26" si="2">IF(B21="","",IF((E21+F21)-C21&gt;=0,"OK",(E21+F21)-C21))</f>
        <v>-45</v>
      </c>
      <c r="P21" s="55"/>
    </row>
    <row r="22" spans="1:16" ht="21.75" customHeight="1" x14ac:dyDescent="0.3">
      <c r="A22" s="56" t="str">
        <f>IF(B22="","",VLOOKUP(B22,Lists!$A:$B,2,FALSE()))</f>
        <v>HWDP</v>
      </c>
      <c r="B22" s="45" t="s">
        <v>30</v>
      </c>
      <c r="C22" s="46">
        <v>45</v>
      </c>
      <c r="D22" s="57">
        <v>52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>
        <f t="shared" si="2"/>
        <v>-45</v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36</v>
      </c>
      <c r="C28" s="46">
        <v>9</v>
      </c>
      <c r="D28" s="60">
        <v>6</v>
      </c>
      <c r="E28" s="48">
        <v>0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>
        <f t="shared" ref="O28:O35" si="3">IF(B28="","",IF((E28+F28)-C28&gt;=0,"OK",(E28+F28)-C28))</f>
        <v>-9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37</v>
      </c>
      <c r="C29" s="46">
        <v>24</v>
      </c>
      <c r="D29" s="60">
        <v>10</v>
      </c>
      <c r="E29" s="48">
        <v>0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>
        <f t="shared" si="3"/>
        <v>-24</v>
      </c>
      <c r="P29" s="55"/>
    </row>
    <row r="30" spans="1:16" ht="21.75" customHeight="1" x14ac:dyDescent="0.3">
      <c r="A30" s="59" t="str">
        <f>IF(B30="","",VLOOKUP(B30,Lists!$A:$B,2,FALSE()))</f>
        <v>DRILL COLLAR</v>
      </c>
      <c r="B30" s="45" t="s">
        <v>40</v>
      </c>
      <c r="C30" s="46">
        <v>0</v>
      </c>
      <c r="D30" s="60">
        <v>24</v>
      </c>
      <c r="E30" s="48">
        <v>0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 t="str">
        <f t="shared" si="3"/>
        <v>OK</v>
      </c>
      <c r="P30" s="55"/>
    </row>
    <row r="31" spans="1:16" ht="21.75" customHeight="1" x14ac:dyDescent="0.3">
      <c r="A31" s="59" t="str">
        <f>IF(B31="","",VLOOKUP(B31,Lists!$A:$B,2,FALSE()))</f>
        <v>DRILL COLLAR</v>
      </c>
      <c r="B31" s="45" t="s">
        <v>43</v>
      </c>
      <c r="C31" s="46">
        <v>24</v>
      </c>
      <c r="D31" s="60">
        <v>8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>
        <f t="shared" si="3"/>
        <v>-24</v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>IF(B32="",0,E32+F32+G32+H32)</f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3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>IF(B33="",0,E33+F33+G33+H33)</f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3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>IF(B34="",0,E34+F34+G34+H34)</f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>IF(B35="",0,E35+F35+G35+H35)</f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1</v>
      </c>
      <c r="D37" s="63">
        <f t="shared" ref="D37:D49" si="4">IF(B37="",0,E37+F37+G37+H37)</f>
        <v>0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>
        <f t="shared" ref="O37:O49" si="5">IF(B37="","",IF((E37+F37)-C37&gt;=0,"OK",(E37+F37)-C37))</f>
        <v>-1</v>
      </c>
      <c r="P37" s="55"/>
    </row>
    <row r="38" spans="1:16" ht="21.75" customHeight="1" x14ac:dyDescent="0.3">
      <c r="A38" s="62" t="str">
        <f>IF(B38="","",VLOOKUP(B38,Lists!$A:$B,2,FALSE()))</f>
        <v>PUP JOINT</v>
      </c>
      <c r="B38" s="45" t="s">
        <v>49</v>
      </c>
      <c r="C38" s="46">
        <v>1</v>
      </c>
      <c r="D38" s="63">
        <f t="shared" si="4"/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>
        <f t="shared" si="5"/>
        <v>-1</v>
      </c>
      <c r="P38" s="55"/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si="4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5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4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5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4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5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4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5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4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5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4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5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4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5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4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5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4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5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4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5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4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5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RT8cbfhyCeVEpuiScGFgHHV641sbDenGh2KcVaeQIEOaXkMM2DEWeBr1elkDCfSBgQSydwmgrn1bmOdaiJY97A==" saltValue="1TFtBO+DhHhaHWR/hiCfAg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25" priority="2" operator="lessThan">
      <formula>0</formula>
    </cfRule>
    <cfRule type="expression" dxfId="24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14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14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14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14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5"/>
  <sheetViews>
    <sheetView zoomScaleNormal="100" workbookViewId="0">
      <pane ySplit="5" topLeftCell="A6" activePane="bottomLeft" state="frozen"/>
      <selection pane="bottomLeft" activeCell="B13" sqref="B13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302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303</v>
      </c>
      <c r="C2" s="41" t="s">
        <v>205</v>
      </c>
      <c r="D2" s="105">
        <v>46173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/>
      </c>
      <c r="B7" s="45"/>
      <c r="C7" s="46">
        <v>0</v>
      </c>
      <c r="D7" s="47">
        <f t="shared" ref="D7:D19" si="0">IF(B7="",0,E7+F7+G7+H7)</f>
        <v>0</v>
      </c>
      <c r="E7" s="48">
        <v>0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 t="str">
        <f t="shared" ref="O7:O19" si="1">IF(B7="","",IF((E7+F7)-C7&gt;=0,"OK",(E7+F7)-C7))</f>
        <v/>
      </c>
      <c r="P7" s="55"/>
    </row>
    <row r="8" spans="1:16" ht="21.75" customHeight="1" x14ac:dyDescent="0.3">
      <c r="A8" s="44" t="str">
        <f>IF(B8="","",VLOOKUP(B8,Lists!$A:$B,2,FALSE()))</f>
        <v/>
      </c>
      <c r="B8" s="45"/>
      <c r="C8" s="46">
        <v>0</v>
      </c>
      <c r="D8" s="47">
        <f t="shared" si="0"/>
        <v>0</v>
      </c>
      <c r="E8" s="48">
        <v>0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 t="str">
        <f t="shared" si="1"/>
        <v/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si="0"/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1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0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1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0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1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0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1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0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1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0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1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0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1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0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1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0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1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0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1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0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1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/>
      </c>
      <c r="B21" s="45"/>
      <c r="C21" s="46">
        <v>0</v>
      </c>
      <c r="D21" s="57">
        <f t="shared" ref="D21:D26" si="2">IF(B21="",0,E21+F21+G21+H21)</f>
        <v>0</v>
      </c>
      <c r="E21" s="48">
        <v>0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 t="str">
        <f t="shared" ref="O21:O26" si="3">IF(B21="","",IF((E21+F21)-C21&gt;=0,"OK",(E21+F21)-C21))</f>
        <v/>
      </c>
      <c r="P21" s="55"/>
    </row>
    <row r="22" spans="1:16" ht="21.75" customHeight="1" x14ac:dyDescent="0.3">
      <c r="A22" s="56" t="str">
        <f>IF(B22="","",VLOOKUP(B22,Lists!$A:$B,2,FALSE()))</f>
        <v/>
      </c>
      <c r="B22" s="45"/>
      <c r="C22" s="46">
        <v>0</v>
      </c>
      <c r="D22" s="57">
        <f t="shared" si="2"/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3"/>
        <v/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 t="shared" si="2"/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3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 t="shared" si="2"/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3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 t="shared" si="2"/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3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 t="shared" si="2"/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3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/>
      </c>
      <c r="B28" s="45"/>
      <c r="C28" s="46">
        <v>0</v>
      </c>
      <c r="D28" s="60">
        <f t="shared" ref="D28:D35" si="4">IF(B28="",0,E28+F28+G28+H28)</f>
        <v>0</v>
      </c>
      <c r="E28" s="48">
        <v>0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5">IF(B28="","",IF((E28+F28)-C28&gt;=0,"OK",(E28+F28)-C28))</f>
        <v/>
      </c>
      <c r="P28" s="55"/>
    </row>
    <row r="29" spans="1:16" ht="21.75" customHeight="1" x14ac:dyDescent="0.3">
      <c r="A29" s="59" t="str">
        <f>IF(B29="","",VLOOKUP(B29,Lists!$A:$B,2,FALSE()))</f>
        <v/>
      </c>
      <c r="B29" s="45"/>
      <c r="C29" s="46">
        <v>0</v>
      </c>
      <c r="D29" s="60">
        <f t="shared" si="4"/>
        <v>0</v>
      </c>
      <c r="E29" s="48">
        <v>0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 t="str">
        <f t="shared" si="5"/>
        <v/>
      </c>
      <c r="P29" s="55"/>
    </row>
    <row r="30" spans="1:16" ht="21.75" customHeight="1" x14ac:dyDescent="0.3">
      <c r="A30" s="59" t="str">
        <f>IF(B30="","",VLOOKUP(B30,Lists!$A:$B,2,FALSE()))</f>
        <v/>
      </c>
      <c r="B30" s="45"/>
      <c r="C30" s="46">
        <v>0</v>
      </c>
      <c r="D30" s="60">
        <f t="shared" si="4"/>
        <v>0</v>
      </c>
      <c r="E30" s="48">
        <v>0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 t="str">
        <f t="shared" si="5"/>
        <v/>
      </c>
      <c r="P30" s="55"/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 t="shared" si="4"/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5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4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5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4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5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4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5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4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5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/>
      </c>
      <c r="B37" s="45"/>
      <c r="C37" s="46">
        <v>0</v>
      </c>
      <c r="D37" s="63">
        <f t="shared" ref="D37:D49" si="6">IF(B37="",0,E37+F37+G37+H37)</f>
        <v>0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7">IF(B37="","",IF((E37+F37)-C37&gt;=0,"OK",(E37+F37)-C37))</f>
        <v/>
      </c>
      <c r="P37" s="55"/>
    </row>
    <row r="38" spans="1:16" ht="21.75" customHeight="1" x14ac:dyDescent="0.3">
      <c r="A38" s="62" t="str">
        <f>IF(B38="","",VLOOKUP(B38,Lists!$A:$B,2,FALSE()))</f>
        <v/>
      </c>
      <c r="B38" s="45"/>
      <c r="C38" s="46">
        <v>0</v>
      </c>
      <c r="D38" s="63">
        <f t="shared" si="6"/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7"/>
        <v/>
      </c>
      <c r="P38" s="55"/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si="6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7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6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7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6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7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6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7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6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7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6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7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6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7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6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7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6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7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6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7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6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7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F55ZqwoG1IYWwhmRdD26Qhzc1ZnRoK52alYi7SO/eS7X31Aip0R08y2thXHUDPt16hFZ1BVVIECK5J78w7CH4Q==" saltValue="D+5+8zQqm/aGdHYmqvffJg==" spinCount="100000" sheet="1" objects="1" scenarios="1"/>
  <protectedRanges>
    <protectedRange sqref="A1:A1048576 B1:B1048576 E1:E1048576 F1:F1048576 G1:G1048576 I1:I1048576 H1:H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23" priority="2" operator="lessThan">
      <formula>0</formula>
    </cfRule>
    <cfRule type="expression" dxfId="22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15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15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15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15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55"/>
  <sheetViews>
    <sheetView zoomScaleNormal="100" workbookViewId="0">
      <pane ySplit="5" topLeftCell="A6" activePane="bottomLeft" state="frozen"/>
      <selection pane="bottomLeft" activeCell="D2" sqref="D2:E2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304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305</v>
      </c>
      <c r="C2" s="41" t="s">
        <v>205</v>
      </c>
      <c r="D2" s="105">
        <v>46162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23</v>
      </c>
      <c r="C7" s="46">
        <v>208</v>
      </c>
      <c r="D7" s="47">
        <f t="shared" ref="D7:D19" si="0">IF(B7="",0,E7+F7+G7+H7)</f>
        <v>212</v>
      </c>
      <c r="E7" s="48">
        <v>212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 t="str">
        <f t="shared" ref="O7:O19" si="1">IF(B7="","",IF((E7+F7)-C7&gt;=0,"OK",(E7+F7)-C7))</f>
        <v>OK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15</v>
      </c>
      <c r="C8" s="46">
        <v>0</v>
      </c>
      <c r="D8" s="47">
        <f t="shared" si="0"/>
        <v>0</v>
      </c>
      <c r="E8" s="48">
        <v>0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 t="str">
        <f t="shared" si="1"/>
        <v>OK</v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si="0"/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1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0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1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0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1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0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1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0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1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0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1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0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1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0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1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0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1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0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1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0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1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30</v>
      </c>
      <c r="C21" s="46">
        <v>42</v>
      </c>
      <c r="D21" s="57">
        <f t="shared" ref="D21:D26" si="2">IF(B21="",0,E21+F21+G21+H21)</f>
        <v>45</v>
      </c>
      <c r="E21" s="48">
        <v>45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 t="str">
        <f t="shared" ref="O21:O26" si="3">IF(B21="","",IF((E21+F21)-C21&gt;=0,"OK",(E21+F21)-C21))</f>
        <v>OK</v>
      </c>
      <c r="P21" s="55"/>
    </row>
    <row r="22" spans="1:16" ht="21.75" customHeight="1" x14ac:dyDescent="0.3">
      <c r="A22" s="56" t="str">
        <f>IF(B22="","",VLOOKUP(B22,Lists!$A:$B,2,FALSE()))</f>
        <v>HWDP</v>
      </c>
      <c r="B22" s="45" t="s">
        <v>33</v>
      </c>
      <c r="C22" s="46">
        <v>35</v>
      </c>
      <c r="D22" s="57">
        <f t="shared" si="2"/>
        <v>27</v>
      </c>
      <c r="E22" s="48">
        <v>27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>
        <f t="shared" si="3"/>
        <v>-8</v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 t="shared" si="2"/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3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 t="shared" si="2"/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3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 t="shared" si="2"/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3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 t="shared" si="2"/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3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36</v>
      </c>
      <c r="C28" s="46">
        <v>9</v>
      </c>
      <c r="D28" s="60">
        <f t="shared" ref="D28:D35" si="4">IF(B28="",0,E28+F28+G28+H28)</f>
        <v>7</v>
      </c>
      <c r="E28" s="48">
        <v>7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>
        <f t="shared" ref="O28:O35" si="5">IF(B28="","",IF((E28+F28)-C28&gt;=0,"OK",(E28+F28)-C28))</f>
        <v>-2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37</v>
      </c>
      <c r="C29" s="46">
        <v>18</v>
      </c>
      <c r="D29" s="60">
        <f t="shared" si="4"/>
        <v>25</v>
      </c>
      <c r="E29" s="48">
        <v>25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 t="str">
        <f t="shared" si="5"/>
        <v>OK</v>
      </c>
      <c r="P29" s="55"/>
    </row>
    <row r="30" spans="1:16" ht="21.75" customHeight="1" x14ac:dyDescent="0.3">
      <c r="A30" s="59" t="str">
        <f>IF(B30="","",VLOOKUP(B30,Lists!$A:$B,2,FALSE()))</f>
        <v>DRILL COLLAR</v>
      </c>
      <c r="B30" s="45" t="s">
        <v>40</v>
      </c>
      <c r="C30" s="46">
        <v>26</v>
      </c>
      <c r="D30" s="60">
        <f t="shared" si="4"/>
        <v>18</v>
      </c>
      <c r="E30" s="48">
        <v>18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50</v>
      </c>
      <c r="N30" s="53"/>
      <c r="O30" s="61">
        <f t="shared" si="5"/>
        <v>-8</v>
      </c>
      <c r="P30" s="55"/>
    </row>
    <row r="31" spans="1:16" ht="21.75" customHeight="1" x14ac:dyDescent="0.3">
      <c r="A31" s="59" t="str">
        <f>IF(B31="","",VLOOKUP(B31,Lists!$A:$B,2,FALSE()))</f>
        <v>DRILL COLLAR</v>
      </c>
      <c r="B31" s="45" t="s">
        <v>43</v>
      </c>
      <c r="C31" s="46">
        <v>0</v>
      </c>
      <c r="D31" s="60">
        <f t="shared" si="4"/>
        <v>20</v>
      </c>
      <c r="E31" s="48">
        <v>20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5"/>
        <v>OK</v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4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5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4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5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4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5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4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5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56</v>
      </c>
      <c r="C37" s="46">
        <v>4</v>
      </c>
      <c r="D37" s="63">
        <f t="shared" ref="D37:D49" si="6">IF(B37="",0,E37+F37+G37+H37)</f>
        <v>0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>
        <f t="shared" ref="O37:O49" si="7">IF(B37="","",IF((E37+F37)-C37&gt;=0,"OK",(E37+F37)-C37))</f>
        <v>-4</v>
      </c>
      <c r="P37" s="55"/>
    </row>
    <row r="38" spans="1:16" ht="21.75" customHeight="1" x14ac:dyDescent="0.3">
      <c r="A38" s="62" t="str">
        <f>IF(B38="","",VLOOKUP(B38,Lists!$A:$B,2,FALSE()))</f>
        <v/>
      </c>
      <c r="B38" s="45"/>
      <c r="C38" s="46">
        <v>0</v>
      </c>
      <c r="D38" s="63">
        <f t="shared" si="6"/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7"/>
        <v/>
      </c>
      <c r="P38" s="55"/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si="6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7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6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7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6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7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6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7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6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7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6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7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6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7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6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7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6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7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6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7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6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7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VPbI4FYbxG7wW0Hx0edyszegQuHMwAFI0GWNeCzuNn7MnBDpRjX20yvtg5EjBFKLBUNp7s5KYQRcD1UanrrUqA==" saltValue="YyojTh33KFwcHEC8U8lj8Q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21" priority="2" operator="lessThan">
      <formula>0</formula>
    </cfRule>
    <cfRule type="expression" dxfId="20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16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16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16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16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55"/>
  <sheetViews>
    <sheetView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306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307</v>
      </c>
      <c r="C2" s="41" t="s">
        <v>205</v>
      </c>
      <c r="D2" s="105">
        <v>46173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/>
      </c>
      <c r="B7" s="45"/>
      <c r="C7" s="46">
        <v>0</v>
      </c>
      <c r="D7" s="47">
        <f t="shared" ref="D7:D19" si="0">IF(B7="",0,E7+F7+G7+H7)</f>
        <v>0</v>
      </c>
      <c r="E7" s="48">
        <v>0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 t="str">
        <f t="shared" ref="O7:O19" si="1">IF(B7="","",IF((E7+F7)-C7&gt;=0,"OK",(E7+F7)-C7))</f>
        <v/>
      </c>
      <c r="P7" s="55"/>
    </row>
    <row r="8" spans="1:16" ht="21.75" customHeight="1" x14ac:dyDescent="0.3">
      <c r="A8" s="44" t="str">
        <f>IF(B8="","",VLOOKUP(B8,Lists!$A:$B,2,FALSE()))</f>
        <v/>
      </c>
      <c r="B8" s="45"/>
      <c r="C8" s="46">
        <v>0</v>
      </c>
      <c r="D8" s="47">
        <f t="shared" si="0"/>
        <v>0</v>
      </c>
      <c r="E8" s="48">
        <v>0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 t="str">
        <f t="shared" si="1"/>
        <v/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si="0"/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1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0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1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0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1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0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1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0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1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0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1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0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1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0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1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0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1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0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1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0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1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/>
      </c>
      <c r="B21" s="45"/>
      <c r="C21" s="46">
        <v>0</v>
      </c>
      <c r="D21" s="57">
        <f t="shared" ref="D21:D26" si="2">IF(B21="",0,E21+F21+G21+H21)</f>
        <v>0</v>
      </c>
      <c r="E21" s="48">
        <v>0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 t="str">
        <f t="shared" ref="O21:O26" si="3">IF(B21="","",IF((E21+F21)-C21&gt;=0,"OK",(E21+F21)-C21))</f>
        <v/>
      </c>
      <c r="P21" s="55"/>
    </row>
    <row r="22" spans="1:16" ht="21.75" customHeight="1" x14ac:dyDescent="0.3">
      <c r="A22" s="56" t="str">
        <f>IF(B22="","",VLOOKUP(B22,Lists!$A:$B,2,FALSE()))</f>
        <v/>
      </c>
      <c r="B22" s="45"/>
      <c r="C22" s="46">
        <v>0</v>
      </c>
      <c r="D22" s="57">
        <f t="shared" si="2"/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3"/>
        <v/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 t="shared" si="2"/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3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 t="shared" si="2"/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3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 t="shared" si="2"/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3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 t="shared" si="2"/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3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/>
      </c>
      <c r="B28" s="45"/>
      <c r="C28" s="46">
        <v>0</v>
      </c>
      <c r="D28" s="60">
        <f t="shared" ref="D28:D35" si="4">IF(B28="",0,E28+F28+G28+H28)</f>
        <v>0</v>
      </c>
      <c r="E28" s="48">
        <v>0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5">IF(B28="","",IF((E28+F28)-C28&gt;=0,"OK",(E28+F28)-C28))</f>
        <v/>
      </c>
      <c r="P28" s="55"/>
    </row>
    <row r="29" spans="1:16" ht="21.75" customHeight="1" x14ac:dyDescent="0.3">
      <c r="A29" s="59" t="str">
        <f>IF(B29="","",VLOOKUP(B29,Lists!$A:$B,2,FALSE()))</f>
        <v/>
      </c>
      <c r="B29" s="45"/>
      <c r="C29" s="46">
        <v>0</v>
      </c>
      <c r="D29" s="60">
        <f t="shared" si="4"/>
        <v>0</v>
      </c>
      <c r="E29" s="48">
        <v>0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 t="str">
        <f t="shared" si="5"/>
        <v/>
      </c>
      <c r="P29" s="55"/>
    </row>
    <row r="30" spans="1:16" ht="21.75" customHeight="1" x14ac:dyDescent="0.3">
      <c r="A30" s="59" t="str">
        <f>IF(B30="","",VLOOKUP(B30,Lists!$A:$B,2,FALSE()))</f>
        <v/>
      </c>
      <c r="B30" s="45"/>
      <c r="C30" s="46">
        <v>0</v>
      </c>
      <c r="D30" s="60">
        <f t="shared" si="4"/>
        <v>0</v>
      </c>
      <c r="E30" s="48">
        <v>0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 t="str">
        <f t="shared" si="5"/>
        <v/>
      </c>
      <c r="P30" s="55"/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 t="shared" si="4"/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5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4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5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4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5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4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5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4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5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/>
      </c>
      <c r="B37" s="45"/>
      <c r="C37" s="46">
        <v>0</v>
      </c>
      <c r="D37" s="63">
        <f t="shared" ref="D37:D49" si="6">IF(B37="",0,E37+F37+G37+H37)</f>
        <v>0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7">IF(B37="","",IF((E37+F37)-C37&gt;=0,"OK",(E37+F37)-C37))</f>
        <v/>
      </c>
      <c r="P37" s="55"/>
    </row>
    <row r="38" spans="1:16" ht="21.75" customHeight="1" x14ac:dyDescent="0.3">
      <c r="A38" s="62" t="str">
        <f>IF(B38="","",VLOOKUP(B38,Lists!$A:$B,2,FALSE()))</f>
        <v/>
      </c>
      <c r="B38" s="45"/>
      <c r="C38" s="46">
        <v>0</v>
      </c>
      <c r="D38" s="63">
        <f t="shared" si="6"/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7"/>
        <v/>
      </c>
      <c r="P38" s="55"/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si="6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7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6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7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6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7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6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7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6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7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6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7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6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7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6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7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6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7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6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7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6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7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dBmK7rnBL7YEr3UsdIyNjfIc2sSsbw5GXAt6g2aInPJFNHm/NMXJo+LDFc+zXZ3w5YTU1jKYvxiaF+2krmR3lA==" saltValue="YqwtKh1BCtbvzCbgnBXSOg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19" priority="2" operator="lessThan">
      <formula>0</formula>
    </cfRule>
    <cfRule type="expression" dxfId="18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1A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1A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1A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1A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55"/>
  <sheetViews>
    <sheetView zoomScaleNormal="100" workbookViewId="0">
      <pane ySplit="5" topLeftCell="A6" activePane="bottomLeft" state="frozen"/>
      <selection pane="bottomLeft" activeCell="P39" sqref="P39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308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309</v>
      </c>
      <c r="C2" s="41" t="s">
        <v>205</v>
      </c>
      <c r="D2" s="105">
        <v>46173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25</v>
      </c>
      <c r="C7" s="46">
        <v>125</v>
      </c>
      <c r="D7" s="47">
        <v>139</v>
      </c>
      <c r="E7" s="48">
        <v>104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12</v>
      </c>
      <c r="L7" s="46">
        <v>39</v>
      </c>
      <c r="M7" s="46">
        <v>0</v>
      </c>
      <c r="N7" s="53"/>
      <c r="O7" s="54">
        <f t="shared" ref="O7:O19" si="0">IF(B7="","",IF((E7+F7)-C7&gt;=0,"OK",(E7+F7)-C7))</f>
        <v>-21</v>
      </c>
      <c r="P7" s="55" t="s">
        <v>310</v>
      </c>
    </row>
    <row r="8" spans="1:16" ht="21.75" customHeight="1" x14ac:dyDescent="0.3">
      <c r="A8" s="44" t="str">
        <f>IF(B8="","",VLOOKUP(B8,Lists!$A:$B,2,FALSE()))</f>
        <v>DRILL PIPE</v>
      </c>
      <c r="B8" s="45" t="s">
        <v>24</v>
      </c>
      <c r="C8" s="46">
        <v>138</v>
      </c>
      <c r="D8" s="47">
        <v>112</v>
      </c>
      <c r="E8" s="48">
        <v>62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11</v>
      </c>
      <c r="L8" s="46">
        <v>39</v>
      </c>
      <c r="M8" s="46">
        <v>0</v>
      </c>
      <c r="N8" s="53"/>
      <c r="O8" s="54">
        <f t="shared" si="0"/>
        <v>-76</v>
      </c>
      <c r="P8" s="55" t="s">
        <v>311</v>
      </c>
    </row>
    <row r="9" spans="1:16" ht="21.75" customHeight="1" x14ac:dyDescent="0.3">
      <c r="A9" s="44" t="str">
        <f>IF(B9="","",VLOOKUP(B9,Lists!$A:$B,2,FALSE()))</f>
        <v>DRILL PIPE</v>
      </c>
      <c r="B9" s="45" t="s">
        <v>23</v>
      </c>
      <c r="C9" s="46" t="s">
        <v>312</v>
      </c>
      <c r="D9" s="47">
        <v>413</v>
      </c>
      <c r="E9" s="48">
        <v>388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89</v>
      </c>
      <c r="L9" s="46">
        <v>0</v>
      </c>
      <c r="M9" s="46">
        <v>0</v>
      </c>
      <c r="N9" s="53"/>
      <c r="O9" s="54" t="e">
        <f t="shared" si="0"/>
        <v>#VALUE!</v>
      </c>
      <c r="P9" s="55" t="s">
        <v>313</v>
      </c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ref="D10:D19" si="1">IF(B10="",0,E10+F10+G10+H10)</f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33</v>
      </c>
      <c r="C21" s="46">
        <v>16</v>
      </c>
      <c r="D21" s="57">
        <v>17</v>
      </c>
      <c r="E21" s="48">
        <v>3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14</v>
      </c>
      <c r="M21" s="46">
        <v>15</v>
      </c>
      <c r="N21" s="53"/>
      <c r="O21" s="58">
        <f t="shared" ref="O21:O26" si="2">IF(B21="","",IF((E21+F21)-C21&gt;=0,"OK",(E21+F21)-C21))</f>
        <v>-13</v>
      </c>
      <c r="P21" s="55" t="s">
        <v>314</v>
      </c>
    </row>
    <row r="22" spans="1:16" ht="21.75" customHeight="1" x14ac:dyDescent="0.3">
      <c r="A22" s="56" t="str">
        <f>IF(B22="","",VLOOKUP(B22,Lists!$A:$B,2,FALSE()))</f>
        <v>HWDP</v>
      </c>
      <c r="B22" s="45" t="s">
        <v>30</v>
      </c>
      <c r="C22" s="46">
        <v>0</v>
      </c>
      <c r="D22" s="57">
        <v>34</v>
      </c>
      <c r="E22" s="48">
        <v>8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26</v>
      </c>
      <c r="L22" s="46">
        <v>0</v>
      </c>
      <c r="M22" s="46">
        <v>0</v>
      </c>
      <c r="N22" s="53"/>
      <c r="O22" s="58" t="str">
        <f t="shared" si="2"/>
        <v>OK</v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38</v>
      </c>
      <c r="C28" s="46">
        <v>0</v>
      </c>
      <c r="D28" s="60">
        <f>IF(B28="",0,E28+F28+G28+H28)</f>
        <v>14</v>
      </c>
      <c r="E28" s="48">
        <v>14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3">IF(B28="","",IF((E28+F28)-C28&gt;=0,"OK",(E28+F28)-C28))</f>
        <v>OK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39</v>
      </c>
      <c r="C29" s="46">
        <v>0</v>
      </c>
      <c r="D29" s="60">
        <f>IF(B29="",0,E29+F29+G29+H29)</f>
        <v>26</v>
      </c>
      <c r="E29" s="48">
        <v>26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11</v>
      </c>
      <c r="M29" s="46">
        <v>16</v>
      </c>
      <c r="N29" s="53"/>
      <c r="O29" s="61" t="str">
        <f t="shared" si="3"/>
        <v>OK</v>
      </c>
      <c r="P29" s="55" t="s">
        <v>315</v>
      </c>
    </row>
    <row r="30" spans="1:16" ht="21.75" customHeight="1" x14ac:dyDescent="0.3">
      <c r="A30" s="59" t="str">
        <f>IF(B30="","",VLOOKUP(B30,Lists!$A:$B,2,FALSE()))</f>
        <v>DRILL COLLAR</v>
      </c>
      <c r="B30" s="45" t="s">
        <v>43</v>
      </c>
      <c r="C30" s="46">
        <v>0</v>
      </c>
      <c r="D30" s="60">
        <v>41</v>
      </c>
      <c r="E30" s="48">
        <v>39</v>
      </c>
      <c r="F30" s="49">
        <v>1</v>
      </c>
      <c r="G30" s="50">
        <v>0</v>
      </c>
      <c r="H30" s="51">
        <v>0</v>
      </c>
      <c r="I30" s="52">
        <v>0</v>
      </c>
      <c r="J30" s="46">
        <v>0</v>
      </c>
      <c r="K30" s="46">
        <v>1</v>
      </c>
      <c r="L30" s="46">
        <v>0</v>
      </c>
      <c r="M30" s="46">
        <v>0</v>
      </c>
      <c r="N30" s="53"/>
      <c r="O30" s="61" t="str">
        <f t="shared" si="3"/>
        <v>OK</v>
      </c>
      <c r="P30" s="55" t="s">
        <v>316</v>
      </c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>IF(B31="",0,E31+F31+G31+H31)</f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3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>IF(B32="",0,E32+F32+G32+H32)</f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3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>IF(B33="",0,E33+F33+G33+H33)</f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3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>IF(B34="",0,E34+F34+G34+H34)</f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>IF(B35="",0,E35+F35+G35+H35)</f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0</v>
      </c>
      <c r="D37" s="63">
        <v>3</v>
      </c>
      <c r="E37" s="48">
        <v>3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4">IF(B37="","",IF((E37+F37)-C37&gt;=0,"OK",(E37+F37)-C37))</f>
        <v>OK</v>
      </c>
      <c r="P37" s="55" t="s">
        <v>317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48</v>
      </c>
      <c r="C38" s="46">
        <v>0</v>
      </c>
      <c r="D38" s="63">
        <v>1</v>
      </c>
      <c r="E38" s="48">
        <v>1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4"/>
        <v>OK</v>
      </c>
      <c r="P38" s="55" t="s">
        <v>318</v>
      </c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4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ref="D40:D49" si="5">IF(B40="",0,E40+F40+G40+H40)</f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4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5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4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5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4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5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4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5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4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5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4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5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4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5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4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5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4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5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4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/qV6C1HUdpVC7eS/6BIZMGGCbXcCjU/DSjQeMNBNPqCZVgQg3pfFWbxyIxjrmmaotBu5xQyoGFbx0Dnw9gMoEA==" saltValue="EymG6qcs7wMfcGnMBi3ASw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17" priority="2" operator="lessThan">
      <formula>0</formula>
    </cfRule>
    <cfRule type="expression" dxfId="16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1B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1B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1B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1B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55"/>
  <sheetViews>
    <sheetView zoomScaleNormal="100" workbookViewId="0">
      <pane ySplit="5" topLeftCell="A11" activePane="bottomLeft" state="frozen"/>
      <selection pane="bottomLeft" activeCell="C7" sqref="C7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319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320</v>
      </c>
      <c r="C2" s="41" t="s">
        <v>205</v>
      </c>
      <c r="D2" s="105">
        <v>46173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25</v>
      </c>
      <c r="C7" s="46">
        <v>125</v>
      </c>
      <c r="D7" s="47">
        <v>196</v>
      </c>
      <c r="E7" s="48">
        <v>189</v>
      </c>
      <c r="F7" s="49">
        <v>0</v>
      </c>
      <c r="G7" s="50">
        <v>0</v>
      </c>
      <c r="H7" s="51">
        <v>39</v>
      </c>
      <c r="I7" s="52">
        <v>0</v>
      </c>
      <c r="J7" s="46">
        <v>0</v>
      </c>
      <c r="K7" s="46">
        <v>9</v>
      </c>
      <c r="L7" s="46">
        <v>0</v>
      </c>
      <c r="M7" s="46">
        <v>0</v>
      </c>
      <c r="N7" s="53"/>
      <c r="O7" s="54" t="str">
        <f t="shared" ref="O7:O19" si="0">IF(B7="","",IF((E7+F7)-C7&gt;=0,"OK",(E7+F7)-C7))</f>
        <v>OK</v>
      </c>
      <c r="P7" s="55" t="s">
        <v>321</v>
      </c>
    </row>
    <row r="8" spans="1:16" ht="21.75" customHeight="1" x14ac:dyDescent="0.3">
      <c r="A8" s="44" t="str">
        <f>IF(B8="","",VLOOKUP(B8,Lists!$A:$B,2,FALSE()))</f>
        <v>DRILL PIPE</v>
      </c>
      <c r="B8" s="45" t="s">
        <v>24</v>
      </c>
      <c r="C8" s="46">
        <v>139</v>
      </c>
      <c r="D8" s="47">
        <v>271</v>
      </c>
      <c r="E8" s="48">
        <v>172</v>
      </c>
      <c r="F8" s="49">
        <v>0</v>
      </c>
      <c r="G8" s="50">
        <v>0</v>
      </c>
      <c r="H8" s="51">
        <v>149</v>
      </c>
      <c r="I8" s="52">
        <v>0</v>
      </c>
      <c r="J8" s="46">
        <v>3</v>
      </c>
      <c r="K8" s="46">
        <v>96</v>
      </c>
      <c r="L8" s="46">
        <v>0</v>
      </c>
      <c r="M8" s="46">
        <v>0</v>
      </c>
      <c r="N8" s="53"/>
      <c r="O8" s="54" t="str">
        <f t="shared" si="0"/>
        <v>OK</v>
      </c>
      <c r="P8" s="55" t="s">
        <v>322</v>
      </c>
    </row>
    <row r="9" spans="1:16" ht="21.75" customHeight="1" x14ac:dyDescent="0.3">
      <c r="A9" s="44" t="str">
        <f>IF(B9="","",VLOOKUP(B9,Lists!$A:$B,2,FALSE()))</f>
        <v>DRILL PIPE</v>
      </c>
      <c r="B9" s="45" t="s">
        <v>23</v>
      </c>
      <c r="C9" s="46">
        <v>0</v>
      </c>
      <c r="D9" s="47">
        <v>532</v>
      </c>
      <c r="E9" s="48">
        <v>480</v>
      </c>
      <c r="F9" s="49">
        <v>0</v>
      </c>
      <c r="G9" s="50">
        <v>0</v>
      </c>
      <c r="H9" s="51">
        <v>155</v>
      </c>
      <c r="I9" s="52">
        <v>0</v>
      </c>
      <c r="J9" s="46">
        <v>5</v>
      </c>
      <c r="K9" s="46">
        <v>47</v>
      </c>
      <c r="L9" s="46">
        <v>0</v>
      </c>
      <c r="M9" s="46">
        <v>0</v>
      </c>
      <c r="N9" s="53"/>
      <c r="O9" s="54" t="str">
        <f t="shared" si="0"/>
        <v>OK</v>
      </c>
      <c r="P9" s="55" t="s">
        <v>323</v>
      </c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ref="D10:D19" si="1">IF(B10="",0,E10+F10+G10+H10)</f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33</v>
      </c>
      <c r="C21" s="46">
        <v>0</v>
      </c>
      <c r="D21" s="57">
        <v>17</v>
      </c>
      <c r="E21" s="48">
        <v>2</v>
      </c>
      <c r="F21" s="49">
        <v>0</v>
      </c>
      <c r="G21" s="50">
        <v>0</v>
      </c>
      <c r="H21" s="51">
        <v>0</v>
      </c>
      <c r="I21" s="52">
        <v>0</v>
      </c>
      <c r="J21" s="46">
        <v>15</v>
      </c>
      <c r="K21" s="46">
        <v>0</v>
      </c>
      <c r="L21" s="46">
        <v>0</v>
      </c>
      <c r="M21" s="46">
        <v>0</v>
      </c>
      <c r="N21" s="53"/>
      <c r="O21" s="58" t="str">
        <f t="shared" ref="O21:O26" si="2">IF(B21="","",IF((E21+F21)-C21&gt;=0,"OK",(E21+F21)-C21))</f>
        <v>OK</v>
      </c>
      <c r="P21" s="55" t="s">
        <v>324</v>
      </c>
    </row>
    <row r="22" spans="1:16" ht="21.75" customHeight="1" x14ac:dyDescent="0.3">
      <c r="A22" s="56" t="str">
        <f>IF(B22="","",VLOOKUP(B22,Lists!$A:$B,2,FALSE()))</f>
        <v>HWDP</v>
      </c>
      <c r="B22" s="45" t="s">
        <v>30</v>
      </c>
      <c r="C22" s="46">
        <v>0</v>
      </c>
      <c r="D22" s="57">
        <v>0</v>
      </c>
      <c r="E22" s="48">
        <v>12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8</v>
      </c>
      <c r="L22" s="46">
        <v>34</v>
      </c>
      <c r="M22" s="46">
        <v>0</v>
      </c>
      <c r="N22" s="53"/>
      <c r="O22" s="58" t="str">
        <f t="shared" si="2"/>
        <v>OK</v>
      </c>
      <c r="P22" s="55" t="s">
        <v>325</v>
      </c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38</v>
      </c>
      <c r="C28" s="46">
        <v>20</v>
      </c>
      <c r="D28" s="60">
        <v>17</v>
      </c>
      <c r="E28" s="48">
        <v>16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1</v>
      </c>
      <c r="L28" s="46">
        <v>0</v>
      </c>
      <c r="M28" s="46">
        <v>0</v>
      </c>
      <c r="N28" s="53"/>
      <c r="O28" s="61">
        <f t="shared" ref="O28:O35" si="3">IF(B28="","",IF((E28+F28)-C28&gt;=0,"OK",(E28+F28)-C28))</f>
        <v>-4</v>
      </c>
      <c r="P28" s="55" t="s">
        <v>326</v>
      </c>
    </row>
    <row r="29" spans="1:16" ht="21.75" customHeight="1" x14ac:dyDescent="0.3">
      <c r="A29" s="59" t="str">
        <f>IF(B29="","",VLOOKUP(B29,Lists!$A:$B,2,FALSE()))</f>
        <v>DRILL COLLAR</v>
      </c>
      <c r="B29" s="45" t="s">
        <v>39</v>
      </c>
      <c r="C29" s="46">
        <v>0</v>
      </c>
      <c r="D29" s="60">
        <v>30</v>
      </c>
      <c r="E29" s="48">
        <v>13</v>
      </c>
      <c r="F29" s="49">
        <v>11</v>
      </c>
      <c r="G29" s="50">
        <v>0</v>
      </c>
      <c r="H29" s="51">
        <v>0</v>
      </c>
      <c r="I29" s="52">
        <v>0</v>
      </c>
      <c r="J29" s="46">
        <v>1</v>
      </c>
      <c r="K29" s="46">
        <v>16</v>
      </c>
      <c r="L29" s="46">
        <v>0</v>
      </c>
      <c r="M29" s="46">
        <v>0</v>
      </c>
      <c r="N29" s="53"/>
      <c r="O29" s="61" t="str">
        <f t="shared" si="3"/>
        <v>OK</v>
      </c>
      <c r="P29" s="55" t="s">
        <v>327</v>
      </c>
    </row>
    <row r="30" spans="1:16" ht="21.75" customHeight="1" x14ac:dyDescent="0.3">
      <c r="A30" s="59" t="str">
        <f>IF(B30="","",VLOOKUP(B30,Lists!$A:$B,2,FALSE()))</f>
        <v>DRILL COLLAR</v>
      </c>
      <c r="B30" s="45" t="s">
        <v>43</v>
      </c>
      <c r="C30" s="46">
        <v>20</v>
      </c>
      <c r="D30" s="60">
        <v>0</v>
      </c>
      <c r="E30" s="48">
        <v>20</v>
      </c>
      <c r="F30" s="49">
        <v>0</v>
      </c>
      <c r="G30" s="50">
        <v>0</v>
      </c>
      <c r="H30" s="51">
        <v>7</v>
      </c>
      <c r="I30" s="52">
        <v>0</v>
      </c>
      <c r="J30" s="46">
        <v>4</v>
      </c>
      <c r="K30" s="46">
        <v>3</v>
      </c>
      <c r="L30" s="46">
        <v>3</v>
      </c>
      <c r="M30" s="46">
        <v>0</v>
      </c>
      <c r="N30" s="53"/>
      <c r="O30" s="61" t="str">
        <f t="shared" si="3"/>
        <v>OK</v>
      </c>
      <c r="P30" s="55" t="s">
        <v>328</v>
      </c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>IF(B31="",0,E31+F31+G31+H31)</f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3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>IF(B32="",0,E32+F32+G32+H32)</f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3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>IF(B33="",0,E33+F33+G33+H33)</f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3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>IF(B34="",0,E34+F34+G34+H34)</f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>IF(B35="",0,E35+F35+G35+H35)</f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0</v>
      </c>
      <c r="D37" s="63">
        <v>3</v>
      </c>
      <c r="E37" s="48">
        <v>3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4">IF(B37="","",IF((E37+F37)-C37&gt;=0,"OK",(E37+F37)-C37))</f>
        <v>OK</v>
      </c>
      <c r="P37" s="55" t="s">
        <v>329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50</v>
      </c>
      <c r="C38" s="46">
        <v>0</v>
      </c>
      <c r="D38" s="63">
        <v>4</v>
      </c>
      <c r="E38" s="48">
        <v>4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4"/>
        <v>OK</v>
      </c>
      <c r="P38" s="55" t="s">
        <v>330</v>
      </c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4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4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4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4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4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ref="D44:D49" si="5">IF(B44="",0,E44+F44+G44+H44)</f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4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5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4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5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4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5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4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5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4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5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4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VOPtSVqX0j4U0Vw/c17WIQ0pf+KRoi9bD7JPgA34LXeVRtoOQkb5BQv1eaPkt3nJtXAnD+O5D1L6EOEgXHphyw==" saltValue="JFbnBrVgHwqWKlp44l3g7A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15" priority="2" operator="lessThan">
      <formula>0</formula>
    </cfRule>
    <cfRule type="expression" dxfId="14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1C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1C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1C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1C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55"/>
  <sheetViews>
    <sheetView zoomScaleNormal="100" workbookViewId="0">
      <pane ySplit="5" topLeftCell="A6" activePane="bottomLeft" state="frozen"/>
      <selection pane="bottomLeft" activeCell="D13" sqref="D13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331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332</v>
      </c>
      <c r="C2" s="41" t="s">
        <v>205</v>
      </c>
      <c r="D2" s="105">
        <v>46132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24</v>
      </c>
      <c r="C7" s="46">
        <v>328</v>
      </c>
      <c r="D7" s="47">
        <v>227</v>
      </c>
      <c r="E7" s="48">
        <v>227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6</v>
      </c>
      <c r="L7" s="46">
        <v>0</v>
      </c>
      <c r="M7" s="46">
        <v>0</v>
      </c>
      <c r="N7" s="53"/>
      <c r="O7" s="54">
        <f t="shared" ref="O7:O19" si="0">IF(B7="","",IF((E7+F7)-C7&gt;=0,"OK",(E7+F7)-C7))</f>
        <v>-101</v>
      </c>
      <c r="P7" s="55" t="s">
        <v>333</v>
      </c>
    </row>
    <row r="8" spans="1:16" ht="21.75" customHeight="1" x14ac:dyDescent="0.3">
      <c r="A8" s="44" t="str">
        <f>IF(B8="","",VLOOKUP(B8,Lists!$A:$B,2,FALSE()))</f>
        <v>DRILL PIPE</v>
      </c>
      <c r="B8" s="45" t="s">
        <v>25</v>
      </c>
      <c r="C8" s="46">
        <v>272</v>
      </c>
      <c r="D8" s="47">
        <v>514</v>
      </c>
      <c r="E8" s="48">
        <v>514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 t="str">
        <f t="shared" si="0"/>
        <v>OK</v>
      </c>
      <c r="P8" s="55" t="s">
        <v>334</v>
      </c>
    </row>
    <row r="9" spans="1:16" ht="21.75" customHeight="1" x14ac:dyDescent="0.3">
      <c r="A9" s="44" t="str">
        <f>IF(B9="","",VLOOKUP(B9,Lists!$A:$B,2,FALSE()))</f>
        <v>DRILL PIPE</v>
      </c>
      <c r="B9" s="45" t="s">
        <v>20</v>
      </c>
      <c r="C9" s="46">
        <v>375</v>
      </c>
      <c r="D9" s="47">
        <v>269</v>
      </c>
      <c r="E9" s="48">
        <v>269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23</v>
      </c>
      <c r="L9" s="46">
        <v>0</v>
      </c>
      <c r="M9" s="46">
        <v>0</v>
      </c>
      <c r="N9" s="53"/>
      <c r="O9" s="54">
        <f t="shared" si="0"/>
        <v>-106</v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ref="D10:D19" si="1">IF(B10="",0,E10+F10+G10+H10)</f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33</v>
      </c>
      <c r="C21" s="46">
        <v>30</v>
      </c>
      <c r="D21" s="57">
        <v>57</v>
      </c>
      <c r="E21" s="48">
        <v>57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33</v>
      </c>
      <c r="M21" s="46">
        <v>0</v>
      </c>
      <c r="N21" s="53"/>
      <c r="O21" s="58" t="str">
        <f t="shared" ref="O21:O26" si="2">IF(B21="","",IF((E21+F21)-C21&gt;=0,"OK",(E21+F21)-C21))</f>
        <v>OK</v>
      </c>
      <c r="P21" s="74" t="s">
        <v>335</v>
      </c>
    </row>
    <row r="22" spans="1:16" ht="21.75" customHeight="1" x14ac:dyDescent="0.3">
      <c r="A22" s="56" t="str">
        <f>IF(B22="","",VLOOKUP(B22,Lists!$A:$B,2,FALSE()))</f>
        <v>HWDP</v>
      </c>
      <c r="B22" s="45" t="s">
        <v>30</v>
      </c>
      <c r="C22" s="46">
        <v>35</v>
      </c>
      <c r="D22" s="57">
        <f>IF(B22="",0,E22+F22+G22+H22)</f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>
        <f t="shared" si="2"/>
        <v>-35</v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36</v>
      </c>
      <c r="C28" s="46">
        <v>3</v>
      </c>
      <c r="D28" s="60">
        <v>4</v>
      </c>
      <c r="E28" s="48">
        <v>4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3">IF(B28="","",IF((E28+F28)-C28&gt;=0,"OK",(E28+F28)-C28))</f>
        <v>OK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38</v>
      </c>
      <c r="C29" s="46">
        <v>15</v>
      </c>
      <c r="D29" s="60">
        <v>17</v>
      </c>
      <c r="E29" s="48">
        <v>17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1</v>
      </c>
      <c r="L29" s="46">
        <v>0</v>
      </c>
      <c r="M29" s="46">
        <v>3</v>
      </c>
      <c r="N29" s="53"/>
      <c r="O29" s="61" t="str">
        <f t="shared" si="3"/>
        <v>OK</v>
      </c>
      <c r="P29" s="55" t="s">
        <v>287</v>
      </c>
    </row>
    <row r="30" spans="1:16" ht="21.75" customHeight="1" x14ac:dyDescent="0.3">
      <c r="A30" s="59" t="str">
        <f>IF(B30="","",VLOOKUP(B30,Lists!$A:$B,2,FALSE()))</f>
        <v>DRILL COLLAR</v>
      </c>
      <c r="B30" s="45" t="s">
        <v>42</v>
      </c>
      <c r="C30" s="46">
        <v>31</v>
      </c>
      <c r="D30" s="60">
        <v>24</v>
      </c>
      <c r="E30" s="48">
        <v>24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2</v>
      </c>
      <c r="N30" s="53"/>
      <c r="O30" s="61">
        <f t="shared" si="3"/>
        <v>-7</v>
      </c>
      <c r="P30" s="55" t="s">
        <v>336</v>
      </c>
    </row>
    <row r="31" spans="1:16" ht="21.75" customHeight="1" x14ac:dyDescent="0.3">
      <c r="A31" s="59" t="str">
        <f>IF(B31="","",VLOOKUP(B31,Lists!$A:$B,2,FALSE()))</f>
        <v>DRILL COLLAR</v>
      </c>
      <c r="B31" s="45" t="s">
        <v>43</v>
      </c>
      <c r="C31" s="46">
        <v>30</v>
      </c>
      <c r="D31" s="60">
        <v>12</v>
      </c>
      <c r="E31" s="48">
        <v>12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10</v>
      </c>
      <c r="L31" s="46">
        <v>0</v>
      </c>
      <c r="M31" s="46">
        <v>3</v>
      </c>
      <c r="N31" s="53"/>
      <c r="O31" s="61">
        <f t="shared" si="3"/>
        <v>-18</v>
      </c>
      <c r="P31" s="55" t="s">
        <v>287</v>
      </c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>IF(B32="",0,E32+F32+G32+H32)</f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3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>IF(B33="",0,E33+F33+G33+H33)</f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3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>IF(B34="",0,E34+F34+G34+H34)</f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>IF(B35="",0,E35+F35+G35+H35)</f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4</v>
      </c>
      <c r="D37" s="63">
        <v>6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>
        <f t="shared" ref="O37:O49" si="4">IF(B37="","",IF((E37+F37)-C37&gt;=0,"OK",(E37+F37)-C37))</f>
        <v>-4</v>
      </c>
      <c r="P37" s="55"/>
    </row>
    <row r="38" spans="1:16" ht="21.75" customHeight="1" x14ac:dyDescent="0.3">
      <c r="A38" s="62" t="str">
        <f>IF(B38="","",VLOOKUP(B38,Lists!$A:$B,2,FALSE()))</f>
        <v>PUP JOINT</v>
      </c>
      <c r="B38" s="45" t="s">
        <v>45</v>
      </c>
      <c r="C38" s="46">
        <v>4</v>
      </c>
      <c r="D38" s="63">
        <v>3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>
        <f t="shared" si="4"/>
        <v>-4</v>
      </c>
      <c r="P38" s="55"/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ref="D39:D49" si="5">IF(B39="",0,E39+F39+G39+H39)</f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4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5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4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5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4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5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4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5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4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5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4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5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4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5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4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5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4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5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4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5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4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5gAjGurB7JwVuBR6nHn3x2Sqwrm0tuQhjIjCvYz821+iI4bYscXJlUzl84jQqh72LTXbEyavNzEiCNlUEBvWkg==" saltValue="vTtXBmSHmO+1qIt52lhb6g==" spinCount="100000" sheet="1" objects="1" scenarios="1"/>
  <protectedRanges>
    <protectedRange sqref="A1:A1048576 B1:B1048576 E1:E1048576 F1:F1048576 G1:G1048576 A1:P1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13" priority="2" operator="lessThan">
      <formula>0</formula>
    </cfRule>
    <cfRule type="expression" dxfId="12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1D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1D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1D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1D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55"/>
  <sheetViews>
    <sheetView zoomScaleNormal="100" workbookViewId="0">
      <pane ySplit="5" topLeftCell="A6" activePane="bottomLeft" state="frozen"/>
      <selection pane="bottomLeft" activeCell="P38" sqref="P38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337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204</v>
      </c>
      <c r="B2" s="42" t="s">
        <v>338</v>
      </c>
      <c r="C2" s="41" t="s">
        <v>205</v>
      </c>
      <c r="D2" s="105">
        <v>46173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25</v>
      </c>
      <c r="C7" s="46">
        <v>0</v>
      </c>
      <c r="D7" s="47">
        <v>120</v>
      </c>
      <c r="E7" s="48">
        <v>47</v>
      </c>
      <c r="F7" s="49">
        <v>0</v>
      </c>
      <c r="G7" s="50">
        <v>0</v>
      </c>
      <c r="H7" s="51">
        <v>0</v>
      </c>
      <c r="I7" s="52">
        <v>28</v>
      </c>
      <c r="J7" s="46">
        <v>45</v>
      </c>
      <c r="K7" s="46">
        <v>28</v>
      </c>
      <c r="L7" s="46">
        <v>0</v>
      </c>
      <c r="M7" s="46">
        <v>0</v>
      </c>
      <c r="N7" s="53"/>
      <c r="O7" s="54" t="str">
        <f t="shared" ref="O7:O19" si="0">IF(B7="","",IF((E7+F7)-C7&gt;=0,"OK",(E7+F7)-C7))</f>
        <v>OK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24</v>
      </c>
      <c r="C8" s="46">
        <v>0</v>
      </c>
      <c r="D8" s="47">
        <v>141</v>
      </c>
      <c r="E8" s="48">
        <v>42</v>
      </c>
      <c r="F8" s="49">
        <v>0</v>
      </c>
      <c r="G8" s="50">
        <v>0</v>
      </c>
      <c r="H8" s="51">
        <v>0</v>
      </c>
      <c r="I8" s="52">
        <v>54</v>
      </c>
      <c r="J8" s="46">
        <v>45</v>
      </c>
      <c r="K8" s="46">
        <v>54</v>
      </c>
      <c r="L8" s="46">
        <v>0</v>
      </c>
      <c r="M8" s="46">
        <v>0</v>
      </c>
      <c r="N8" s="53"/>
      <c r="O8" s="54" t="str">
        <f t="shared" si="0"/>
        <v>OK</v>
      </c>
      <c r="P8" s="55"/>
    </row>
    <row r="9" spans="1:16" ht="21.75" customHeight="1" x14ac:dyDescent="0.3">
      <c r="A9" s="44" t="str">
        <f>IF(B9="","",VLOOKUP(B9,Lists!$A:$B,2,FALSE()))</f>
        <v>DRILL PIPE</v>
      </c>
      <c r="B9" s="45" t="s">
        <v>16</v>
      </c>
      <c r="C9" s="46">
        <v>0</v>
      </c>
      <c r="D9" s="47">
        <v>107</v>
      </c>
      <c r="E9" s="48">
        <v>100</v>
      </c>
      <c r="F9" s="49">
        <v>0</v>
      </c>
      <c r="G9" s="50">
        <v>0</v>
      </c>
      <c r="H9" s="51">
        <v>0</v>
      </c>
      <c r="I9" s="52">
        <v>7</v>
      </c>
      <c r="J9" s="46">
        <v>0</v>
      </c>
      <c r="K9" s="46">
        <v>7</v>
      </c>
      <c r="L9" s="46">
        <v>0</v>
      </c>
      <c r="M9" s="46">
        <v>0</v>
      </c>
      <c r="N9" s="53"/>
      <c r="O9" s="54" t="str">
        <f t="shared" si="0"/>
        <v>OK</v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ref="D10:D19" si="1">IF(B10="",0,E10+F10+G10+H10)</f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33</v>
      </c>
      <c r="C21" s="46">
        <v>0</v>
      </c>
      <c r="D21" s="57">
        <v>63</v>
      </c>
      <c r="E21" s="48">
        <v>33</v>
      </c>
      <c r="F21" s="49">
        <v>0</v>
      </c>
      <c r="G21" s="50">
        <v>0</v>
      </c>
      <c r="H21" s="51">
        <v>0</v>
      </c>
      <c r="I21" s="52">
        <v>0</v>
      </c>
      <c r="J21" s="46">
        <v>30</v>
      </c>
      <c r="K21" s="46">
        <v>0</v>
      </c>
      <c r="L21" s="46">
        <v>33</v>
      </c>
      <c r="M21" s="46">
        <v>0</v>
      </c>
      <c r="N21" s="53"/>
      <c r="O21" s="58" t="str">
        <f t="shared" ref="O21:O26" si="2">IF(B21="","",IF((E21+F21)-C21&gt;=0,"OK",(E21+F21)-C21))</f>
        <v>OK</v>
      </c>
      <c r="P21" s="55" t="s">
        <v>339</v>
      </c>
    </row>
    <row r="22" spans="1:16" ht="21.75" customHeight="1" x14ac:dyDescent="0.3">
      <c r="A22" s="56" t="str">
        <f>IF(B22="","",VLOOKUP(B22,Lists!$A:$B,2,FALSE()))</f>
        <v/>
      </c>
      <c r="B22" s="45"/>
      <c r="C22" s="46">
        <v>0</v>
      </c>
      <c r="D22" s="57">
        <f>IF(B22="",0,E22+F22+G22+H22)</f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2"/>
        <v/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36</v>
      </c>
      <c r="C28" s="46">
        <v>0</v>
      </c>
      <c r="D28" s="60">
        <v>9</v>
      </c>
      <c r="E28" s="48">
        <v>7</v>
      </c>
      <c r="F28" s="49">
        <v>0</v>
      </c>
      <c r="G28" s="50">
        <v>0</v>
      </c>
      <c r="H28" s="51">
        <v>0</v>
      </c>
      <c r="I28" s="52">
        <v>0</v>
      </c>
      <c r="J28" s="46">
        <v>2</v>
      </c>
      <c r="K28" s="46">
        <v>0</v>
      </c>
      <c r="L28" s="46">
        <v>0</v>
      </c>
      <c r="M28" s="46">
        <v>0</v>
      </c>
      <c r="N28" s="53"/>
      <c r="O28" s="61" t="str">
        <f t="shared" ref="O28:O35" si="3">IF(B28="","",IF((E28+F28)-C28&gt;=0,"OK",(E28+F28)-C28))</f>
        <v>OK</v>
      </c>
      <c r="P28" s="55"/>
    </row>
    <row r="29" spans="1:16" ht="21.75" customHeight="1" x14ac:dyDescent="0.3">
      <c r="A29" s="59" t="str">
        <f>IF(B29="","",VLOOKUP(B29,Lists!$A:$B,2,FALSE()))</f>
        <v>DRILL COLLAR</v>
      </c>
      <c r="B29" s="45" t="s">
        <v>38</v>
      </c>
      <c r="C29" s="46">
        <v>0</v>
      </c>
      <c r="D29" s="60">
        <v>30</v>
      </c>
      <c r="E29" s="48">
        <v>22</v>
      </c>
      <c r="F29" s="49">
        <v>0</v>
      </c>
      <c r="G29" s="50">
        <v>0</v>
      </c>
      <c r="H29" s="51">
        <v>0</v>
      </c>
      <c r="I29" s="52">
        <v>0</v>
      </c>
      <c r="J29" s="46">
        <v>8</v>
      </c>
      <c r="K29" s="46">
        <v>0</v>
      </c>
      <c r="L29" s="46">
        <v>3</v>
      </c>
      <c r="M29" s="46">
        <v>0</v>
      </c>
      <c r="N29" s="53"/>
      <c r="O29" s="61" t="str">
        <f t="shared" si="3"/>
        <v>OK</v>
      </c>
      <c r="P29" s="55" t="s">
        <v>340</v>
      </c>
    </row>
    <row r="30" spans="1:16" ht="21.75" customHeight="1" x14ac:dyDescent="0.3">
      <c r="A30" s="59" t="str">
        <f>IF(B30="","",VLOOKUP(B30,Lists!$A:$B,2,FALSE()))</f>
        <v>DRILL COLLAR</v>
      </c>
      <c r="B30" s="45" t="s">
        <v>40</v>
      </c>
      <c r="C30" s="46">
        <v>0</v>
      </c>
      <c r="D30" s="60">
        <f t="shared" ref="D30:D35" si="4">IF(B30="",0,E30+F30+G30+H30)</f>
        <v>2</v>
      </c>
      <c r="E30" s="48">
        <v>2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2</v>
      </c>
      <c r="M30" s="46">
        <v>0</v>
      </c>
      <c r="N30" s="53"/>
      <c r="O30" s="61" t="str">
        <f t="shared" si="3"/>
        <v>OK</v>
      </c>
      <c r="P30" s="55" t="s">
        <v>341</v>
      </c>
    </row>
    <row r="31" spans="1:16" ht="21.75" customHeight="1" x14ac:dyDescent="0.3">
      <c r="A31" s="59" t="str">
        <f>IF(B31="","",VLOOKUP(B31,Lists!$A:$B,2,FALSE()))</f>
        <v>DRILL COLLAR</v>
      </c>
      <c r="B31" s="45" t="s">
        <v>43</v>
      </c>
      <c r="C31" s="46">
        <v>0</v>
      </c>
      <c r="D31" s="60">
        <f t="shared" si="4"/>
        <v>9</v>
      </c>
      <c r="E31" s="48">
        <v>9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9</v>
      </c>
      <c r="M31" s="46">
        <v>0</v>
      </c>
      <c r="N31" s="53"/>
      <c r="O31" s="61" t="str">
        <f t="shared" si="3"/>
        <v>OK</v>
      </c>
      <c r="P31" s="55" t="s">
        <v>342</v>
      </c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4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3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4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3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4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4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54</v>
      </c>
      <c r="C37" s="46">
        <v>0</v>
      </c>
      <c r="D37" s="63">
        <v>9</v>
      </c>
      <c r="E37" s="48">
        <v>1</v>
      </c>
      <c r="F37" s="49">
        <v>0</v>
      </c>
      <c r="G37" s="50">
        <v>0</v>
      </c>
      <c r="H37" s="51">
        <v>0</v>
      </c>
      <c r="I37" s="52">
        <v>8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5">IF(B37="","",IF((E37+F37)-C37&gt;=0,"OK",(E37+F37)-C37))</f>
        <v>OK</v>
      </c>
      <c r="P37" s="55" t="s">
        <v>343</v>
      </c>
    </row>
    <row r="38" spans="1:16" ht="21.75" customHeight="1" x14ac:dyDescent="0.3">
      <c r="A38" s="62" t="str">
        <f>IF(B38="","",VLOOKUP(B38,Lists!$A:$B,2,FALSE()))</f>
        <v>PUP JOINT</v>
      </c>
      <c r="B38" s="45" t="s">
        <v>45</v>
      </c>
      <c r="C38" s="46">
        <v>0</v>
      </c>
      <c r="D38" s="63">
        <v>6</v>
      </c>
      <c r="E38" s="48">
        <v>0</v>
      </c>
      <c r="F38" s="49">
        <v>0</v>
      </c>
      <c r="G38" s="50">
        <v>0</v>
      </c>
      <c r="H38" s="51">
        <v>0</v>
      </c>
      <c r="I38" s="52">
        <v>6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5"/>
        <v>OK</v>
      </c>
      <c r="P38" s="55" t="s">
        <v>344</v>
      </c>
    </row>
    <row r="39" spans="1:16" ht="21.75" customHeight="1" x14ac:dyDescent="0.3">
      <c r="A39" s="62" t="str">
        <f>IF(B39="","",VLOOKUP(B39,Lists!$A:$B,2,FALSE()))</f>
        <v>PUP JOINT</v>
      </c>
      <c r="B39" s="45" t="s">
        <v>48</v>
      </c>
      <c r="C39" s="46">
        <v>0</v>
      </c>
      <c r="D39" s="63">
        <v>2</v>
      </c>
      <c r="E39" s="48">
        <v>0</v>
      </c>
      <c r="F39" s="49">
        <v>0</v>
      </c>
      <c r="G39" s="50">
        <v>0</v>
      </c>
      <c r="H39" s="51">
        <v>0</v>
      </c>
      <c r="I39" s="52">
        <v>2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5"/>
        <v>OK</v>
      </c>
      <c r="P39" s="55" t="s">
        <v>345</v>
      </c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5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5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5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5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ref="D44:D49" si="6">IF(B44="",0,E44+F44+G44+H44)</f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5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6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5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6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5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6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5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6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5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6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5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uP8K3s1mIp1GxW3M1lW5rIIWVrlNTgQuuBkaDY6y1GGDLkCPZnpuhkS59fULQcunq/TsQXb0KZzMU/DIcN4R6g==" saltValue="58dhp1xNxbWJlY6jmQMdUg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11" priority="2" operator="lessThan">
      <formula>0</formula>
    </cfRule>
    <cfRule type="expression" dxfId="10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1E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1E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1E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1E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55"/>
  <sheetViews>
    <sheetView zoomScaleNormal="100" workbookViewId="0">
      <pane ySplit="5" topLeftCell="A6" activePane="bottomLeft" state="frozen"/>
      <selection pane="bottomLeft" activeCell="C8" sqref="C8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346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347</v>
      </c>
      <c r="B2" s="42" t="s">
        <v>348</v>
      </c>
      <c r="C2" s="41" t="s">
        <v>205</v>
      </c>
      <c r="D2" s="105">
        <v>46174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15</v>
      </c>
      <c r="C7" s="46">
        <v>156</v>
      </c>
      <c r="D7" s="47">
        <f>IF(B7="",0,E7+F7+G7+H7)</f>
        <v>92</v>
      </c>
      <c r="E7" s="48">
        <v>92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>
        <f t="shared" ref="O7:O19" si="0">IF(B7="","",IF((E7+F7)-C7&gt;=0,"OK",(E7+F7)-C7))</f>
        <v>-64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349</v>
      </c>
      <c r="C8" s="46">
        <v>0</v>
      </c>
      <c r="D8" s="47">
        <v>35</v>
      </c>
      <c r="E8" s="48">
        <v>35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 t="str">
        <f t="shared" si="0"/>
        <v>OK</v>
      </c>
      <c r="P8" s="55" t="s">
        <v>350</v>
      </c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ref="D9:D19" si="1">IF(B9="",0,E9+F9+G9+H9)</f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0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29</v>
      </c>
      <c r="C21" s="46">
        <v>31</v>
      </c>
      <c r="D21" s="57">
        <f t="shared" ref="D21:D26" si="2">IF(B21="",0,E21+F21+G21+H21)</f>
        <v>24</v>
      </c>
      <c r="E21" s="48">
        <v>24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>
        <f t="shared" ref="O21:O26" si="3">IF(B21="","",IF((E21+F21)-C21&gt;=0,"OK",(E21+F21)-C21))</f>
        <v>-7</v>
      </c>
      <c r="P21" s="55"/>
    </row>
    <row r="22" spans="1:16" ht="21.75" customHeight="1" x14ac:dyDescent="0.3">
      <c r="A22" s="56" t="str">
        <f>IF(B22="","",VLOOKUP(B22,Lists!$A:$B,2,FALSE()))</f>
        <v/>
      </c>
      <c r="B22" s="45"/>
      <c r="C22" s="46">
        <v>0</v>
      </c>
      <c r="D22" s="57">
        <f t="shared" si="2"/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3"/>
        <v/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 t="shared" si="2"/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3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 t="shared" si="2"/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3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 t="shared" si="2"/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3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 t="shared" si="2"/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3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/>
      </c>
      <c r="B28" s="45"/>
      <c r="C28" s="46">
        <v>0</v>
      </c>
      <c r="D28" s="60">
        <f t="shared" ref="D28:D35" si="4">IF(B28="",0,E28+F28+G28+H28)</f>
        <v>0</v>
      </c>
      <c r="E28" s="48">
        <v>0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5">IF(B28="","",IF((E28+F28)-C28&gt;=0,"OK",(E28+F28)-C28))</f>
        <v/>
      </c>
      <c r="P28" s="55"/>
    </row>
    <row r="29" spans="1:16" ht="21.75" customHeight="1" x14ac:dyDescent="0.3">
      <c r="A29" s="59" t="str">
        <f>IF(B29="","",VLOOKUP(B29,Lists!$A:$B,2,FALSE()))</f>
        <v/>
      </c>
      <c r="B29" s="45"/>
      <c r="C29" s="46">
        <v>0</v>
      </c>
      <c r="D29" s="60">
        <f t="shared" si="4"/>
        <v>0</v>
      </c>
      <c r="E29" s="48">
        <v>0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 t="str">
        <f t="shared" si="5"/>
        <v/>
      </c>
      <c r="P29" s="55"/>
    </row>
    <row r="30" spans="1:16" ht="21.75" customHeight="1" x14ac:dyDescent="0.3">
      <c r="A30" s="59" t="str">
        <f>IF(B30="","",VLOOKUP(B30,Lists!$A:$B,2,FALSE()))</f>
        <v/>
      </c>
      <c r="B30" s="45"/>
      <c r="C30" s="46">
        <v>0</v>
      </c>
      <c r="D30" s="60">
        <f t="shared" si="4"/>
        <v>0</v>
      </c>
      <c r="E30" s="48">
        <v>0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 t="str">
        <f t="shared" si="5"/>
        <v/>
      </c>
      <c r="P30" s="55"/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 t="shared" si="4"/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5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4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5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4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5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4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5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4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5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/>
      </c>
      <c r="B37" s="45"/>
      <c r="C37" s="46">
        <v>0</v>
      </c>
      <c r="D37" s="63">
        <v>0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6">IF(B37="","",IF((E37+F37)-C37&gt;=0,"OK",(E37+F37)-C37))</f>
        <v/>
      </c>
      <c r="P37" s="55"/>
    </row>
    <row r="38" spans="1:16" ht="21.75" customHeight="1" x14ac:dyDescent="0.3">
      <c r="A38" s="62" t="str">
        <f>IF(B38="","",VLOOKUP(B38,Lists!$A:$B,2,FALSE()))</f>
        <v/>
      </c>
      <c r="B38" s="45"/>
      <c r="C38" s="46">
        <v>0</v>
      </c>
      <c r="D38" s="63">
        <f t="shared" ref="D38:D49" si="7">IF(B38="",0,E38+F38+G38+H38)</f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6"/>
        <v/>
      </c>
      <c r="P38" s="55"/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si="7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6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7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6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7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6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7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6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7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6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7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6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7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6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7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6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7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6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7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6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7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6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EGXiAt1+0F+Jy5+QEZ1JbsdZnl4eTD8XGXFVjiEJipd96hD3F+vkEH0gUTv+I3vaFzMozl9nSvVNBcWpr4XYfg==" saltValue="Mxu99z/dWTNJe3KPUuIgvA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9" priority="2" operator="lessThan">
      <formula>0</formula>
    </cfRule>
    <cfRule type="expression" dxfId="8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1F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1F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1F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1F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55"/>
  <sheetViews>
    <sheetView zoomScaleNormal="100" workbookViewId="0">
      <pane ySplit="5" topLeftCell="A6" activePane="bottomLeft" state="frozen"/>
      <selection pane="bottomLeft" activeCell="C8" sqref="C8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351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347</v>
      </c>
      <c r="B2" s="42" t="s">
        <v>352</v>
      </c>
      <c r="C2" s="41" t="s">
        <v>205</v>
      </c>
      <c r="D2" s="105">
        <v>46162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15</v>
      </c>
      <c r="C7" s="46">
        <v>156</v>
      </c>
      <c r="D7" s="47">
        <v>170</v>
      </c>
      <c r="E7" s="48">
        <v>170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11</v>
      </c>
      <c r="L7" s="46">
        <v>0</v>
      </c>
      <c r="M7" s="46">
        <v>0</v>
      </c>
      <c r="N7" s="53"/>
      <c r="O7" s="54" t="str">
        <f t="shared" ref="O7:O19" si="0">IF(B7="","",IF((E7+F7)-C7&gt;=0,"OK",(E7+F7)-C7))</f>
        <v>OK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349</v>
      </c>
      <c r="C8" s="46">
        <v>0</v>
      </c>
      <c r="D8" s="47">
        <v>8</v>
      </c>
      <c r="E8" s="48">
        <v>8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16</v>
      </c>
      <c r="L8" s="46">
        <v>0</v>
      </c>
      <c r="M8" s="46">
        <v>0</v>
      </c>
      <c r="N8" s="53"/>
      <c r="O8" s="54" t="str">
        <f t="shared" si="0"/>
        <v>OK</v>
      </c>
      <c r="P8" s="74" t="s">
        <v>350</v>
      </c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ref="D9:D19" si="1">IF(B9="",0,E9+F9+G9+H9)</f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0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29</v>
      </c>
      <c r="C21" s="46">
        <v>31</v>
      </c>
      <c r="D21" s="57">
        <v>8</v>
      </c>
      <c r="E21" s="48">
        <v>0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5</v>
      </c>
      <c r="L21" s="46">
        <v>0</v>
      </c>
      <c r="M21" s="46">
        <v>0</v>
      </c>
      <c r="N21" s="53"/>
      <c r="O21" s="58">
        <f t="shared" ref="O21:O26" si="2">IF(B21="","",IF((E21+F21)-C21&gt;=0,"OK",(E21+F21)-C21))</f>
        <v>-31</v>
      </c>
      <c r="P21" s="55"/>
    </row>
    <row r="22" spans="1:16" ht="21.75" customHeight="1" x14ac:dyDescent="0.3">
      <c r="A22" s="56" t="str">
        <f>IF(B22="","",VLOOKUP(B22,Lists!$A:$B,2,FALSE()))</f>
        <v/>
      </c>
      <c r="B22" s="45"/>
      <c r="C22" s="46">
        <v>0</v>
      </c>
      <c r="D22" s="57">
        <f>IF(B22="",0,E22+F22+G22+H22)</f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2"/>
        <v/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/>
      </c>
      <c r="B28" s="45"/>
      <c r="C28" s="46">
        <v>0</v>
      </c>
      <c r="D28" s="60">
        <f t="shared" ref="D28:D35" si="3">IF(B28="",0,E28+F28+G28+H28)</f>
        <v>0</v>
      </c>
      <c r="E28" s="48">
        <v>0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4">IF(B28="","",IF((E28+F28)-C28&gt;=0,"OK",(E28+F28)-C28))</f>
        <v/>
      </c>
      <c r="P28" s="55"/>
    </row>
    <row r="29" spans="1:16" ht="21.75" customHeight="1" x14ac:dyDescent="0.3">
      <c r="A29" s="59" t="str">
        <f>IF(B29="","",VLOOKUP(B29,Lists!$A:$B,2,FALSE()))</f>
        <v/>
      </c>
      <c r="B29" s="45"/>
      <c r="C29" s="46">
        <v>0</v>
      </c>
      <c r="D29" s="60">
        <f t="shared" si="3"/>
        <v>0</v>
      </c>
      <c r="E29" s="48">
        <v>0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 t="str">
        <f t="shared" si="4"/>
        <v/>
      </c>
      <c r="P29" s="55"/>
    </row>
    <row r="30" spans="1:16" ht="21.75" customHeight="1" x14ac:dyDescent="0.3">
      <c r="A30" s="59" t="str">
        <f>IF(B30="","",VLOOKUP(B30,Lists!$A:$B,2,FALSE()))</f>
        <v/>
      </c>
      <c r="B30" s="45"/>
      <c r="C30" s="46">
        <v>0</v>
      </c>
      <c r="D30" s="60">
        <f t="shared" si="3"/>
        <v>0</v>
      </c>
      <c r="E30" s="48">
        <v>0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 t="str">
        <f t="shared" si="4"/>
        <v/>
      </c>
      <c r="P30" s="55"/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 t="shared" si="3"/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4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3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4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3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4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3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4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3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4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/>
      </c>
      <c r="B37" s="45"/>
      <c r="C37" s="46">
        <v>0</v>
      </c>
      <c r="D37" s="63">
        <v>0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5">IF(B37="","",IF((E37+F37)-C37&gt;=0,"OK",(E37+F37)-C37))</f>
        <v/>
      </c>
      <c r="P37" s="55"/>
    </row>
    <row r="38" spans="1:16" ht="21.75" customHeight="1" x14ac:dyDescent="0.3">
      <c r="A38" s="62" t="str">
        <f>IF(B38="","",VLOOKUP(B38,Lists!$A:$B,2,FALSE()))</f>
        <v/>
      </c>
      <c r="B38" s="45"/>
      <c r="C38" s="46">
        <v>0</v>
      </c>
      <c r="D38" s="63">
        <f t="shared" ref="D38:D49" si="6">IF(B38="",0,E38+F38+G38+H38)</f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5"/>
        <v/>
      </c>
      <c r="P38" s="55"/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si="6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5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6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5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6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5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6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5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6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5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6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5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6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5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6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5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6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5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6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5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6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5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z5SfzvDXKC18jy/5Dwu8j56Msf3OG2l1f5EHbVGoQeIuxvgfFMsUQS3sejevUCV+MCv79IiaVezl2cNcDM3mXw==" saltValue="LRrtG1cFfZo5S+2MQpVmmg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7" priority="2" operator="lessThan">
      <formula>0</formula>
    </cfRule>
    <cfRule type="expression" dxfId="6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20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20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20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20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55"/>
  <sheetViews>
    <sheetView zoomScaleNormal="100" workbookViewId="0">
      <pane ySplit="5" topLeftCell="A6" activePane="bottomLeft" state="frozen"/>
      <selection pane="bottomLeft" activeCell="H10" sqref="H10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353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347</v>
      </c>
      <c r="B2" s="42" t="s">
        <v>354</v>
      </c>
      <c r="C2" s="41" t="s">
        <v>205</v>
      </c>
      <c r="D2" s="105">
        <v>46173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15</v>
      </c>
      <c r="C7" s="46">
        <v>156</v>
      </c>
      <c r="D7" s="47">
        <f>IF(B7="",0,E7+F7+G7+H7)</f>
        <v>217</v>
      </c>
      <c r="E7" s="48">
        <v>217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 t="str">
        <f t="shared" ref="O7:O19" si="0">IF(B7="","",IF((E7+F7)-C7&gt;=0,"OK",(E7+F7)-C7))</f>
        <v>OK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349</v>
      </c>
      <c r="C8" s="46">
        <v>0</v>
      </c>
      <c r="D8" s="47">
        <v>53</v>
      </c>
      <c r="E8" s="48">
        <v>53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 t="str">
        <f t="shared" si="0"/>
        <v>OK</v>
      </c>
      <c r="P8" s="55" t="s">
        <v>350</v>
      </c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ref="D9:D19" si="1">IF(B9="",0,E9+F9+G9+H9)</f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0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29</v>
      </c>
      <c r="C21" s="46">
        <v>31</v>
      </c>
      <c r="D21" s="57">
        <f t="shared" ref="D21:D26" si="2">IF(B21="",0,E21+F21+G21+H21)</f>
        <v>28</v>
      </c>
      <c r="E21" s="48">
        <v>28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>
        <f t="shared" ref="O21:O26" si="3">IF(B21="","",IF((E21+F21)-C21&gt;=0,"OK",(E21+F21)-C21))</f>
        <v>-3</v>
      </c>
      <c r="P21" s="55"/>
    </row>
    <row r="22" spans="1:16" ht="21.75" customHeight="1" x14ac:dyDescent="0.3">
      <c r="A22" s="56" t="str">
        <f>IF(B22="","",VLOOKUP(B22,Lists!$A:$B,2,FALSE()))</f>
        <v/>
      </c>
      <c r="B22" s="45"/>
      <c r="C22" s="46">
        <v>0</v>
      </c>
      <c r="D22" s="57">
        <f t="shared" si="2"/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3"/>
        <v/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 t="shared" si="2"/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3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 t="shared" si="2"/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3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 t="shared" si="2"/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3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 t="shared" si="2"/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3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43</v>
      </c>
      <c r="C28" s="46">
        <v>0</v>
      </c>
      <c r="D28" s="60">
        <f t="shared" ref="D28:D35" si="4">IF(B28="",0,E28+F28+G28+H28)</f>
        <v>13</v>
      </c>
      <c r="E28" s="48">
        <v>13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5">IF(B28="","",IF((E28+F28)-C28&gt;=0,"OK",(E28+F28)-C28))</f>
        <v>OK</v>
      </c>
      <c r="P28" s="55"/>
    </row>
    <row r="29" spans="1:16" ht="21.75" customHeight="1" x14ac:dyDescent="0.3">
      <c r="A29" s="59" t="str">
        <f>IF(B29="","",VLOOKUP(B29,Lists!$A:$B,2,FALSE()))</f>
        <v/>
      </c>
      <c r="B29" s="45"/>
      <c r="C29" s="46">
        <v>0</v>
      </c>
      <c r="D29" s="60">
        <f t="shared" si="4"/>
        <v>0</v>
      </c>
      <c r="E29" s="48">
        <v>0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 t="str">
        <f t="shared" si="5"/>
        <v/>
      </c>
      <c r="P29" s="55"/>
    </row>
    <row r="30" spans="1:16" ht="21.75" customHeight="1" x14ac:dyDescent="0.3">
      <c r="A30" s="59" t="str">
        <f>IF(B30="","",VLOOKUP(B30,Lists!$A:$B,2,FALSE()))</f>
        <v/>
      </c>
      <c r="B30" s="45"/>
      <c r="C30" s="46">
        <v>0</v>
      </c>
      <c r="D30" s="60">
        <f t="shared" si="4"/>
        <v>0</v>
      </c>
      <c r="E30" s="48">
        <v>0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 t="str">
        <f t="shared" si="5"/>
        <v/>
      </c>
      <c r="P30" s="55"/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 t="shared" si="4"/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5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4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5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4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5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4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5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4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5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/>
      </c>
      <c r="B37" s="45"/>
      <c r="C37" s="46">
        <v>0</v>
      </c>
      <c r="D37" s="63">
        <v>0</v>
      </c>
      <c r="E37" s="48">
        <v>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6">IF(B37="","",IF((E37+F37)-C37&gt;=0,"OK",(E37+F37)-C37))</f>
        <v/>
      </c>
      <c r="P37" s="55"/>
    </row>
    <row r="38" spans="1:16" ht="21.75" customHeight="1" x14ac:dyDescent="0.3">
      <c r="A38" s="62" t="str">
        <f>IF(B38="","",VLOOKUP(B38,Lists!$A:$B,2,FALSE()))</f>
        <v/>
      </c>
      <c r="B38" s="45"/>
      <c r="C38" s="46">
        <v>0</v>
      </c>
      <c r="D38" s="63">
        <f t="shared" ref="D38:D49" si="7">IF(B38="",0,E38+F38+G38+H38)</f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6"/>
        <v/>
      </c>
      <c r="P38" s="55"/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si="7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6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7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6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7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6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7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6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7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6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7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6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7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6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7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6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7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6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7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6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7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6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uBK1eNzU3aosmGPOdUqeT8dDS06+qvJ5S7Y7FeBb456N3nmzxiF78JnYXAFunXCRzCmMaQKtuPxle3tZBMZb9Q==" saltValue="Z7G7D0u2FNJ16P5rS/9AgQ==" spinCount="100000" sheet="1" objects="1" scenarios="1"/>
  <protectedRanges>
    <protectedRange sqref="A1:A1048576 B1:B1048576 E1:E1048576 F1:F1048576 G1:G1048576 H1:H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5" priority="2" operator="lessThan">
      <formula>0</formula>
    </cfRule>
    <cfRule type="expression" dxfId="4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21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21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21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21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55"/>
  <sheetViews>
    <sheetView zoomScaleNormal="100" workbookViewId="0">
      <pane ySplit="5" topLeftCell="A6" activePane="bottomLeft" state="frozen"/>
      <selection pane="bottomLeft" activeCell="C21" sqref="C21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5" bestFit="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355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347</v>
      </c>
      <c r="B2" s="42" t="s">
        <v>356</v>
      </c>
      <c r="C2" s="41" t="s">
        <v>205</v>
      </c>
      <c r="D2" s="105">
        <v>46161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16</v>
      </c>
      <c r="C7" s="46">
        <v>156</v>
      </c>
      <c r="D7" s="47">
        <v>247</v>
      </c>
      <c r="E7" s="48">
        <v>247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 t="str">
        <f t="shared" ref="O7:O19" si="0">IF(B7="","",IF((E7+F7)-C7&gt;=0,"OK",(E7+F7)-C7))</f>
        <v>OK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349</v>
      </c>
      <c r="C8" s="46">
        <v>0</v>
      </c>
      <c r="D8" s="47">
        <f t="shared" ref="D8:D19" si="1">IF(B8="",0,E8+F8+G8+H8)</f>
        <v>0</v>
      </c>
      <c r="E8" s="48">
        <v>0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 t="str">
        <f t="shared" si="0"/>
        <v>OK</v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si="1"/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0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29</v>
      </c>
      <c r="C21" s="46">
        <v>31</v>
      </c>
      <c r="D21" s="57">
        <v>21</v>
      </c>
      <c r="E21" s="48">
        <v>21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>
        <f t="shared" ref="O21:O26" si="2">IF(B21="","",IF((E21+F21)-C21&gt;=0,"OK",(E21+F21)-C21))</f>
        <v>-10</v>
      </c>
      <c r="P21" s="55"/>
    </row>
    <row r="22" spans="1:16" ht="21.75" customHeight="1" x14ac:dyDescent="0.3">
      <c r="A22" s="56" t="str">
        <f>IF(B22="","",VLOOKUP(B22,Lists!$A:$B,2,FALSE()))</f>
        <v/>
      </c>
      <c r="B22" s="45"/>
      <c r="C22" s="46">
        <v>0</v>
      </c>
      <c r="D22" s="57">
        <f>IF(B22="",0,E22+F22+G22+H22)</f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2"/>
        <v/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43</v>
      </c>
      <c r="C28" s="46">
        <v>0</v>
      </c>
      <c r="D28" s="60">
        <v>9</v>
      </c>
      <c r="E28" s="48">
        <v>9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3">IF(B28="","",IF((E28+F28)-C28&gt;=0,"OK",(E28+F28)-C28))</f>
        <v>OK</v>
      </c>
      <c r="P28" s="55"/>
    </row>
    <row r="29" spans="1:16" ht="21.75" customHeight="1" x14ac:dyDescent="0.3">
      <c r="A29" s="59" t="str">
        <f>IF(B29="","",VLOOKUP(B29,Lists!$A:$B,2,FALSE()))</f>
        <v/>
      </c>
      <c r="B29" s="45"/>
      <c r="C29" s="46">
        <v>0</v>
      </c>
      <c r="D29" s="60">
        <f t="shared" ref="D29:D35" si="4">IF(B29="",0,E29+F29+G29+H29)</f>
        <v>0</v>
      </c>
      <c r="E29" s="48">
        <v>0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 t="str">
        <f t="shared" si="3"/>
        <v/>
      </c>
      <c r="P29" s="55"/>
    </row>
    <row r="30" spans="1:16" ht="21.75" customHeight="1" x14ac:dyDescent="0.3">
      <c r="A30" s="59" t="str">
        <f>IF(B30="","",VLOOKUP(B30,Lists!$A:$B,2,FALSE()))</f>
        <v/>
      </c>
      <c r="B30" s="45"/>
      <c r="C30" s="46">
        <v>0</v>
      </c>
      <c r="D30" s="60">
        <f t="shared" si="4"/>
        <v>0</v>
      </c>
      <c r="E30" s="48">
        <v>0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 t="str">
        <f t="shared" si="3"/>
        <v/>
      </c>
      <c r="P30" s="55"/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 t="shared" si="4"/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3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4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3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4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3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4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4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357</v>
      </c>
      <c r="C37" s="46">
        <v>0</v>
      </c>
      <c r="D37" s="63">
        <v>102</v>
      </c>
      <c r="E37" s="48">
        <v>102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5">IF(B37="","",IF((E37+F37)-C37&gt;=0,"OK",(E37+F37)-C37))</f>
        <v>OK</v>
      </c>
      <c r="P37" s="75" t="s">
        <v>358</v>
      </c>
    </row>
    <row r="38" spans="1:16" ht="21.75" customHeight="1" x14ac:dyDescent="0.3">
      <c r="A38" s="62" t="str">
        <f>IF(B38="","",VLOOKUP(B38,Lists!$A:$B,2,FALSE()))</f>
        <v/>
      </c>
      <c r="B38" s="45"/>
      <c r="C38" s="46">
        <v>0</v>
      </c>
      <c r="D38" s="63">
        <f t="shared" ref="D38:D49" si="6">IF(B38="",0,E38+F38+G38+H38)</f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5"/>
        <v/>
      </c>
      <c r="P38" s="55"/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si="6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5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6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5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6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5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6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5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6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5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6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5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6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5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6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5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6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5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6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5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6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5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18cV+EP50MpxTOST+QC9lYK/NrvnhgCSlf4WBN8PZ1VEA69p9pxF9ar5X29HgmMbPq9am4CXYZEaZtePNjq0Og==" saltValue="E5AxNDBG/oWfxk/FdSdu3Q==" spinCount="100000" sheet="1" objects="1" scenarios="1"/>
  <protectedRanges>
    <protectedRange sqref="A1:A1048576 B1:B1048576 E1:E1048576 F1:F1048576 H1:H1048576 A1:P1 G1:G1048576 I1:I1048576 J1:J1048576 K1:K1048576 L1:L1048576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3" priority="2" operator="lessThan">
      <formula>0</formula>
    </cfRule>
    <cfRule type="expression" dxfId="2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22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22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22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22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55"/>
  <sheetViews>
    <sheetView zoomScaleNormal="100" workbookViewId="0">
      <pane ySplit="5" topLeftCell="A6" activePane="bottomLeft" state="frozen"/>
      <selection pane="bottomLeft" activeCell="D14" sqref="D14"/>
    </sheetView>
  </sheetViews>
  <sheetFormatPr defaultColWidth="8.6640625" defaultRowHeight="14.4" x14ac:dyDescent="0.3"/>
  <cols>
    <col min="1" max="1" width="14" customWidth="1"/>
    <col min="2" max="2" width="38" customWidth="1"/>
    <col min="3" max="3" width="11" customWidth="1"/>
    <col min="4" max="4" width="10" customWidth="1"/>
    <col min="5" max="5" width="12" customWidth="1"/>
    <col min="6" max="7" width="11" customWidth="1"/>
    <col min="8" max="8" width="10" customWidth="1"/>
    <col min="9" max="9" width="13" customWidth="1"/>
    <col min="10" max="10" width="12" customWidth="1"/>
    <col min="11" max="12" width="11" customWidth="1"/>
    <col min="13" max="13" width="12" customWidth="1"/>
    <col min="14" max="15" width="13" customWidth="1"/>
    <col min="16" max="16" width="28" customWidth="1"/>
  </cols>
  <sheetData>
    <row r="1" spans="1:16" ht="36" customHeight="1" x14ac:dyDescent="0.3">
      <c r="A1" s="104" t="s">
        <v>359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24" customHeight="1" x14ac:dyDescent="0.3">
      <c r="A2" s="41" t="s">
        <v>347</v>
      </c>
      <c r="B2" s="42" t="s">
        <v>360</v>
      </c>
      <c r="C2" s="41" t="s">
        <v>205</v>
      </c>
      <c r="D2" s="105">
        <v>46161</v>
      </c>
      <c r="E2" s="105"/>
      <c r="F2" s="41" t="s">
        <v>206</v>
      </c>
      <c r="G2" s="43" t="s">
        <v>77</v>
      </c>
    </row>
    <row r="3" spans="1:16" ht="3.75" customHeight="1" x14ac:dyDescent="0.3"/>
    <row r="4" spans="1:16" ht="31.5" customHeight="1" x14ac:dyDescent="0.3">
      <c r="A4" s="106" t="s">
        <v>207</v>
      </c>
      <c r="B4" s="106" t="s">
        <v>208</v>
      </c>
      <c r="C4" s="106" t="s">
        <v>6</v>
      </c>
      <c r="D4" s="106" t="s">
        <v>209</v>
      </c>
      <c r="E4" s="107" t="s">
        <v>210</v>
      </c>
      <c r="F4" s="107"/>
      <c r="G4" s="107"/>
      <c r="H4" s="107"/>
      <c r="I4" s="108" t="s">
        <v>11</v>
      </c>
      <c r="J4" s="109" t="s">
        <v>211</v>
      </c>
      <c r="K4" s="109" t="s">
        <v>212</v>
      </c>
      <c r="L4" s="109" t="s">
        <v>213</v>
      </c>
      <c r="M4" s="109" t="s">
        <v>214</v>
      </c>
      <c r="N4" s="109" t="s">
        <v>215</v>
      </c>
      <c r="O4" s="106" t="s">
        <v>216</v>
      </c>
      <c r="P4" s="106" t="s">
        <v>217</v>
      </c>
    </row>
    <row r="5" spans="1:16" ht="25.5" customHeight="1" x14ac:dyDescent="0.3">
      <c r="A5" s="106"/>
      <c r="B5" s="106"/>
      <c r="C5" s="106"/>
      <c r="D5" s="106"/>
      <c r="E5" s="3" t="s">
        <v>7</v>
      </c>
      <c r="F5" s="4" t="s">
        <v>8</v>
      </c>
      <c r="G5" s="5" t="s">
        <v>9</v>
      </c>
      <c r="H5" s="6" t="s">
        <v>10</v>
      </c>
      <c r="I5" s="108"/>
      <c r="J5" s="108"/>
      <c r="K5" s="108"/>
      <c r="L5" s="108"/>
      <c r="M5" s="108"/>
      <c r="N5" s="108"/>
      <c r="O5" s="108"/>
      <c r="P5" s="108"/>
    </row>
    <row r="6" spans="1:16" ht="18" customHeight="1" x14ac:dyDescent="0.3">
      <c r="A6" s="99" t="s">
        <v>14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</row>
    <row r="7" spans="1:16" ht="21.75" customHeight="1" x14ac:dyDescent="0.3">
      <c r="A7" s="44" t="str">
        <f>IF(B7="","",VLOOKUP(B7,Lists!$A:$B,2,FALSE()))</f>
        <v>DRILL PIPE</v>
      </c>
      <c r="B7" s="45" t="s">
        <v>15</v>
      </c>
      <c r="C7" s="46">
        <v>0</v>
      </c>
      <c r="D7" s="47">
        <v>300</v>
      </c>
      <c r="E7" s="48">
        <v>300</v>
      </c>
      <c r="F7" s="49">
        <v>0</v>
      </c>
      <c r="G7" s="50">
        <v>0</v>
      </c>
      <c r="H7" s="51">
        <v>0</v>
      </c>
      <c r="I7" s="52">
        <v>0</v>
      </c>
      <c r="J7" s="46">
        <v>0</v>
      </c>
      <c r="K7" s="46">
        <v>0</v>
      </c>
      <c r="L7" s="46">
        <v>0</v>
      </c>
      <c r="M7" s="46">
        <v>0</v>
      </c>
      <c r="N7" s="53"/>
      <c r="O7" s="54" t="str">
        <f t="shared" ref="O7:O19" si="0">IF(B7="","",IF((E7+F7)-C7&gt;=0,"OK",(E7+F7)-C7))</f>
        <v>OK</v>
      </c>
      <c r="P7" s="55"/>
    </row>
    <row r="8" spans="1:16" ht="21.75" customHeight="1" x14ac:dyDescent="0.3">
      <c r="A8" s="44" t="str">
        <f>IF(B8="","",VLOOKUP(B8,Lists!$A:$B,2,FALSE()))</f>
        <v>DRILL PIPE</v>
      </c>
      <c r="B8" s="45" t="s">
        <v>349</v>
      </c>
      <c r="C8" s="46">
        <v>0</v>
      </c>
      <c r="D8" s="47">
        <f t="shared" ref="D8:D19" si="1">IF(B8="",0,E8+F8+G8+H8)</f>
        <v>0</v>
      </c>
      <c r="E8" s="48">
        <v>0</v>
      </c>
      <c r="F8" s="49">
        <v>0</v>
      </c>
      <c r="G8" s="50">
        <v>0</v>
      </c>
      <c r="H8" s="51">
        <v>0</v>
      </c>
      <c r="I8" s="52">
        <v>0</v>
      </c>
      <c r="J8" s="46">
        <v>0</v>
      </c>
      <c r="K8" s="46">
        <v>0</v>
      </c>
      <c r="L8" s="46">
        <v>0</v>
      </c>
      <c r="M8" s="46">
        <v>0</v>
      </c>
      <c r="N8" s="53"/>
      <c r="O8" s="54" t="str">
        <f t="shared" si="0"/>
        <v>OK</v>
      </c>
      <c r="P8" s="55"/>
    </row>
    <row r="9" spans="1:16" ht="21.75" customHeight="1" x14ac:dyDescent="0.3">
      <c r="A9" s="44" t="str">
        <f>IF(B9="","",VLOOKUP(B9,Lists!$A:$B,2,FALSE()))</f>
        <v/>
      </c>
      <c r="B9" s="45"/>
      <c r="C9" s="46">
        <v>0</v>
      </c>
      <c r="D9" s="47">
        <f t="shared" si="1"/>
        <v>0</v>
      </c>
      <c r="E9" s="48">
        <v>0</v>
      </c>
      <c r="F9" s="49">
        <v>0</v>
      </c>
      <c r="G9" s="50">
        <v>0</v>
      </c>
      <c r="H9" s="51">
        <v>0</v>
      </c>
      <c r="I9" s="52">
        <v>0</v>
      </c>
      <c r="J9" s="46">
        <v>0</v>
      </c>
      <c r="K9" s="46">
        <v>0</v>
      </c>
      <c r="L9" s="46">
        <v>0</v>
      </c>
      <c r="M9" s="46">
        <v>0</v>
      </c>
      <c r="N9" s="53"/>
      <c r="O9" s="54" t="str">
        <f t="shared" si="0"/>
        <v/>
      </c>
      <c r="P9" s="55"/>
    </row>
    <row r="10" spans="1:16" ht="21.75" customHeight="1" x14ac:dyDescent="0.3">
      <c r="A10" s="44" t="str">
        <f>IF(B10="","",VLOOKUP(B10,Lists!$A:$B,2,FALSE()))</f>
        <v/>
      </c>
      <c r="B10" s="45"/>
      <c r="C10" s="46">
        <v>0</v>
      </c>
      <c r="D10" s="47">
        <f t="shared" si="1"/>
        <v>0</v>
      </c>
      <c r="E10" s="48">
        <v>0</v>
      </c>
      <c r="F10" s="49">
        <v>0</v>
      </c>
      <c r="G10" s="50">
        <v>0</v>
      </c>
      <c r="H10" s="51">
        <v>0</v>
      </c>
      <c r="I10" s="52">
        <v>0</v>
      </c>
      <c r="J10" s="46">
        <v>0</v>
      </c>
      <c r="K10" s="46">
        <v>0</v>
      </c>
      <c r="L10" s="46">
        <v>0</v>
      </c>
      <c r="M10" s="46">
        <v>0</v>
      </c>
      <c r="N10" s="53"/>
      <c r="O10" s="54" t="str">
        <f t="shared" si="0"/>
        <v/>
      </c>
      <c r="P10" s="55"/>
    </row>
    <row r="11" spans="1:16" ht="21.75" customHeight="1" x14ac:dyDescent="0.3">
      <c r="A11" s="44" t="str">
        <f>IF(B11="","",VLOOKUP(B11,Lists!$A:$B,2,FALSE()))</f>
        <v/>
      </c>
      <c r="B11" s="45"/>
      <c r="C11" s="46">
        <v>0</v>
      </c>
      <c r="D11" s="47">
        <f t="shared" si="1"/>
        <v>0</v>
      </c>
      <c r="E11" s="48">
        <v>0</v>
      </c>
      <c r="F11" s="49">
        <v>0</v>
      </c>
      <c r="G11" s="50">
        <v>0</v>
      </c>
      <c r="H11" s="51">
        <v>0</v>
      </c>
      <c r="I11" s="52">
        <v>0</v>
      </c>
      <c r="J11" s="46">
        <v>0</v>
      </c>
      <c r="K11" s="46">
        <v>0</v>
      </c>
      <c r="L11" s="46">
        <v>0</v>
      </c>
      <c r="M11" s="46">
        <v>0</v>
      </c>
      <c r="N11" s="53"/>
      <c r="O11" s="54" t="str">
        <f t="shared" si="0"/>
        <v/>
      </c>
      <c r="P11" s="55"/>
    </row>
    <row r="12" spans="1:16" ht="21.75" customHeight="1" x14ac:dyDescent="0.3">
      <c r="A12" s="44" t="str">
        <f>IF(B12="","",VLOOKUP(B12,Lists!$A:$B,2,FALSE()))</f>
        <v/>
      </c>
      <c r="B12" s="45"/>
      <c r="C12" s="46">
        <v>0</v>
      </c>
      <c r="D12" s="47">
        <f t="shared" si="1"/>
        <v>0</v>
      </c>
      <c r="E12" s="48">
        <v>0</v>
      </c>
      <c r="F12" s="49">
        <v>0</v>
      </c>
      <c r="G12" s="50">
        <v>0</v>
      </c>
      <c r="H12" s="51">
        <v>0</v>
      </c>
      <c r="I12" s="52">
        <v>0</v>
      </c>
      <c r="J12" s="46">
        <v>0</v>
      </c>
      <c r="K12" s="46">
        <v>0</v>
      </c>
      <c r="L12" s="46">
        <v>0</v>
      </c>
      <c r="M12" s="46">
        <v>0</v>
      </c>
      <c r="N12" s="53"/>
      <c r="O12" s="54" t="str">
        <f t="shared" si="0"/>
        <v/>
      </c>
      <c r="P12" s="55"/>
    </row>
    <row r="13" spans="1:16" ht="21.75" customHeight="1" x14ac:dyDescent="0.3">
      <c r="A13" s="44" t="str">
        <f>IF(B13="","",VLOOKUP(B13,Lists!$A:$B,2,FALSE()))</f>
        <v/>
      </c>
      <c r="B13" s="45"/>
      <c r="C13" s="46">
        <v>0</v>
      </c>
      <c r="D13" s="47">
        <f t="shared" si="1"/>
        <v>0</v>
      </c>
      <c r="E13" s="48">
        <v>0</v>
      </c>
      <c r="F13" s="49">
        <v>0</v>
      </c>
      <c r="G13" s="50">
        <v>0</v>
      </c>
      <c r="H13" s="51">
        <v>0</v>
      </c>
      <c r="I13" s="52">
        <v>0</v>
      </c>
      <c r="J13" s="46">
        <v>0</v>
      </c>
      <c r="K13" s="46">
        <v>0</v>
      </c>
      <c r="L13" s="46">
        <v>0</v>
      </c>
      <c r="M13" s="46">
        <v>0</v>
      </c>
      <c r="N13" s="53"/>
      <c r="O13" s="54" t="str">
        <f t="shared" si="0"/>
        <v/>
      </c>
      <c r="P13" s="55"/>
    </row>
    <row r="14" spans="1:16" ht="21.75" customHeight="1" x14ac:dyDescent="0.3">
      <c r="A14" s="44" t="str">
        <f>IF(B14="","",VLOOKUP(B14,Lists!$A:$B,2,FALSE()))</f>
        <v/>
      </c>
      <c r="B14" s="45"/>
      <c r="C14" s="46">
        <v>0</v>
      </c>
      <c r="D14" s="47">
        <f t="shared" si="1"/>
        <v>0</v>
      </c>
      <c r="E14" s="48">
        <v>0</v>
      </c>
      <c r="F14" s="49">
        <v>0</v>
      </c>
      <c r="G14" s="50">
        <v>0</v>
      </c>
      <c r="H14" s="51">
        <v>0</v>
      </c>
      <c r="I14" s="52">
        <v>0</v>
      </c>
      <c r="J14" s="46">
        <v>0</v>
      </c>
      <c r="K14" s="46">
        <v>0</v>
      </c>
      <c r="L14" s="46">
        <v>0</v>
      </c>
      <c r="M14" s="46">
        <v>0</v>
      </c>
      <c r="N14" s="53"/>
      <c r="O14" s="54" t="str">
        <f t="shared" si="0"/>
        <v/>
      </c>
      <c r="P14" s="55"/>
    </row>
    <row r="15" spans="1:16" ht="21.75" customHeight="1" x14ac:dyDescent="0.3">
      <c r="A15" s="44" t="str">
        <f>IF(B15="","",VLOOKUP(B15,Lists!$A:$B,2,FALSE()))</f>
        <v/>
      </c>
      <c r="B15" s="45"/>
      <c r="C15" s="46">
        <v>0</v>
      </c>
      <c r="D15" s="47">
        <f t="shared" si="1"/>
        <v>0</v>
      </c>
      <c r="E15" s="48">
        <v>0</v>
      </c>
      <c r="F15" s="49">
        <v>0</v>
      </c>
      <c r="G15" s="50">
        <v>0</v>
      </c>
      <c r="H15" s="51">
        <v>0</v>
      </c>
      <c r="I15" s="52">
        <v>0</v>
      </c>
      <c r="J15" s="46">
        <v>0</v>
      </c>
      <c r="K15" s="46">
        <v>0</v>
      </c>
      <c r="L15" s="46">
        <v>0</v>
      </c>
      <c r="M15" s="46">
        <v>0</v>
      </c>
      <c r="N15" s="53"/>
      <c r="O15" s="54" t="str">
        <f t="shared" si="0"/>
        <v/>
      </c>
      <c r="P15" s="55"/>
    </row>
    <row r="16" spans="1:16" ht="21.75" customHeight="1" x14ac:dyDescent="0.3">
      <c r="A16" s="44" t="str">
        <f>IF(B16="","",VLOOKUP(B16,Lists!$A:$B,2,FALSE()))</f>
        <v/>
      </c>
      <c r="B16" s="45"/>
      <c r="C16" s="46">
        <v>0</v>
      </c>
      <c r="D16" s="47">
        <f t="shared" si="1"/>
        <v>0</v>
      </c>
      <c r="E16" s="48">
        <v>0</v>
      </c>
      <c r="F16" s="49">
        <v>0</v>
      </c>
      <c r="G16" s="50">
        <v>0</v>
      </c>
      <c r="H16" s="51">
        <v>0</v>
      </c>
      <c r="I16" s="52">
        <v>0</v>
      </c>
      <c r="J16" s="46">
        <v>0</v>
      </c>
      <c r="K16" s="46">
        <v>0</v>
      </c>
      <c r="L16" s="46">
        <v>0</v>
      </c>
      <c r="M16" s="46">
        <v>0</v>
      </c>
      <c r="N16" s="53"/>
      <c r="O16" s="54" t="str">
        <f t="shared" si="0"/>
        <v/>
      </c>
      <c r="P16" s="55"/>
    </row>
    <row r="17" spans="1:16" ht="21.75" customHeight="1" x14ac:dyDescent="0.3">
      <c r="A17" s="44" t="str">
        <f>IF(B17="","",VLOOKUP(B17,Lists!$A:$B,2,FALSE()))</f>
        <v/>
      </c>
      <c r="B17" s="45"/>
      <c r="C17" s="46">
        <v>0</v>
      </c>
      <c r="D17" s="47">
        <f t="shared" si="1"/>
        <v>0</v>
      </c>
      <c r="E17" s="48">
        <v>0</v>
      </c>
      <c r="F17" s="49">
        <v>0</v>
      </c>
      <c r="G17" s="50">
        <v>0</v>
      </c>
      <c r="H17" s="51">
        <v>0</v>
      </c>
      <c r="I17" s="52">
        <v>0</v>
      </c>
      <c r="J17" s="46">
        <v>0</v>
      </c>
      <c r="K17" s="46">
        <v>0</v>
      </c>
      <c r="L17" s="46">
        <v>0</v>
      </c>
      <c r="M17" s="46">
        <v>0</v>
      </c>
      <c r="N17" s="53"/>
      <c r="O17" s="54" t="str">
        <f t="shared" si="0"/>
        <v/>
      </c>
      <c r="P17" s="55"/>
    </row>
    <row r="18" spans="1:16" ht="21.75" customHeight="1" x14ac:dyDescent="0.3">
      <c r="A18" s="44" t="str">
        <f>IF(B18="","",VLOOKUP(B18,Lists!$A:$B,2,FALSE()))</f>
        <v/>
      </c>
      <c r="B18" s="45"/>
      <c r="C18" s="46">
        <v>0</v>
      </c>
      <c r="D18" s="47">
        <f t="shared" si="1"/>
        <v>0</v>
      </c>
      <c r="E18" s="48">
        <v>0</v>
      </c>
      <c r="F18" s="49">
        <v>0</v>
      </c>
      <c r="G18" s="50">
        <v>0</v>
      </c>
      <c r="H18" s="51">
        <v>0</v>
      </c>
      <c r="I18" s="52">
        <v>0</v>
      </c>
      <c r="J18" s="46">
        <v>0</v>
      </c>
      <c r="K18" s="46">
        <v>0</v>
      </c>
      <c r="L18" s="46">
        <v>0</v>
      </c>
      <c r="M18" s="46">
        <v>0</v>
      </c>
      <c r="N18" s="53"/>
      <c r="O18" s="54" t="str">
        <f t="shared" si="0"/>
        <v/>
      </c>
      <c r="P18" s="55"/>
    </row>
    <row r="19" spans="1:16" ht="21.75" customHeight="1" x14ac:dyDescent="0.3">
      <c r="A19" s="44" t="str">
        <f>IF(B19="","",VLOOKUP(B19,Lists!$A:$B,2,FALSE()))</f>
        <v/>
      </c>
      <c r="B19" s="45"/>
      <c r="C19" s="46">
        <v>0</v>
      </c>
      <c r="D19" s="47">
        <f t="shared" si="1"/>
        <v>0</v>
      </c>
      <c r="E19" s="48">
        <v>0</v>
      </c>
      <c r="F19" s="49">
        <v>0</v>
      </c>
      <c r="G19" s="50">
        <v>0</v>
      </c>
      <c r="H19" s="51">
        <v>0</v>
      </c>
      <c r="I19" s="52">
        <v>0</v>
      </c>
      <c r="J19" s="46">
        <v>0</v>
      </c>
      <c r="K19" s="46">
        <v>0</v>
      </c>
      <c r="L19" s="46">
        <v>0</v>
      </c>
      <c r="M19" s="46">
        <v>0</v>
      </c>
      <c r="N19" s="53"/>
      <c r="O19" s="54" t="str">
        <f t="shared" si="0"/>
        <v/>
      </c>
      <c r="P19" s="55"/>
    </row>
    <row r="20" spans="1:16" ht="18" customHeight="1" x14ac:dyDescent="0.3">
      <c r="A20" s="100" t="s">
        <v>28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21.75" customHeight="1" x14ac:dyDescent="0.3">
      <c r="A21" s="56" t="str">
        <f>IF(B21="","",VLOOKUP(B21,Lists!$A:$B,2,FALSE()))</f>
        <v>HWDP</v>
      </c>
      <c r="B21" s="45" t="s">
        <v>29</v>
      </c>
      <c r="C21" s="46">
        <v>0</v>
      </c>
      <c r="D21" s="57">
        <v>20</v>
      </c>
      <c r="E21" s="48">
        <v>20</v>
      </c>
      <c r="F21" s="49">
        <v>0</v>
      </c>
      <c r="G21" s="50">
        <v>0</v>
      </c>
      <c r="H21" s="51">
        <v>0</v>
      </c>
      <c r="I21" s="52">
        <v>0</v>
      </c>
      <c r="J21" s="46">
        <v>0</v>
      </c>
      <c r="K21" s="46">
        <v>0</v>
      </c>
      <c r="L21" s="46">
        <v>0</v>
      </c>
      <c r="M21" s="46">
        <v>0</v>
      </c>
      <c r="N21" s="53"/>
      <c r="O21" s="58" t="str">
        <f t="shared" ref="O21:O26" si="2">IF(B21="","",IF((E21+F21)-C21&gt;=0,"OK",(E21+F21)-C21))</f>
        <v>OK</v>
      </c>
      <c r="P21" s="55"/>
    </row>
    <row r="22" spans="1:16" ht="21.75" customHeight="1" x14ac:dyDescent="0.3">
      <c r="A22" s="56" t="str">
        <f>IF(B22="","",VLOOKUP(B22,Lists!$A:$B,2,FALSE()))</f>
        <v/>
      </c>
      <c r="B22" s="45"/>
      <c r="C22" s="46">
        <v>0</v>
      </c>
      <c r="D22" s="57">
        <v>0</v>
      </c>
      <c r="E22" s="48">
        <v>0</v>
      </c>
      <c r="F22" s="49">
        <v>0</v>
      </c>
      <c r="G22" s="50">
        <v>0</v>
      </c>
      <c r="H22" s="51">
        <v>0</v>
      </c>
      <c r="I22" s="52">
        <v>0</v>
      </c>
      <c r="J22" s="46">
        <v>0</v>
      </c>
      <c r="K22" s="46">
        <v>0</v>
      </c>
      <c r="L22" s="46">
        <v>0</v>
      </c>
      <c r="M22" s="46">
        <v>0</v>
      </c>
      <c r="N22" s="53"/>
      <c r="O22" s="58" t="str">
        <f t="shared" si="2"/>
        <v/>
      </c>
      <c r="P22" s="55"/>
    </row>
    <row r="23" spans="1:16" ht="21.75" customHeight="1" x14ac:dyDescent="0.3">
      <c r="A23" s="56" t="str">
        <f>IF(B23="","",VLOOKUP(B23,Lists!$A:$B,2,FALSE()))</f>
        <v/>
      </c>
      <c r="B23" s="45"/>
      <c r="C23" s="46">
        <v>0</v>
      </c>
      <c r="D23" s="57">
        <f>IF(B23="",0,E23+F23+G23+H23)</f>
        <v>0</v>
      </c>
      <c r="E23" s="48">
        <v>0</v>
      </c>
      <c r="F23" s="49">
        <v>0</v>
      </c>
      <c r="G23" s="50">
        <v>0</v>
      </c>
      <c r="H23" s="51">
        <v>0</v>
      </c>
      <c r="I23" s="52">
        <v>0</v>
      </c>
      <c r="J23" s="46">
        <v>0</v>
      </c>
      <c r="K23" s="46">
        <v>0</v>
      </c>
      <c r="L23" s="46">
        <v>0</v>
      </c>
      <c r="M23" s="46">
        <v>0</v>
      </c>
      <c r="N23" s="53"/>
      <c r="O23" s="58" t="str">
        <f t="shared" si="2"/>
        <v/>
      </c>
      <c r="P23" s="55"/>
    </row>
    <row r="24" spans="1:16" ht="21.75" customHeight="1" x14ac:dyDescent="0.3">
      <c r="A24" s="56" t="str">
        <f>IF(B24="","",VLOOKUP(B24,Lists!$A:$B,2,FALSE()))</f>
        <v/>
      </c>
      <c r="B24" s="45"/>
      <c r="C24" s="46">
        <v>0</v>
      </c>
      <c r="D24" s="57">
        <f>IF(B24="",0,E24+F24+G24+H24)</f>
        <v>0</v>
      </c>
      <c r="E24" s="48">
        <v>0</v>
      </c>
      <c r="F24" s="49">
        <v>0</v>
      </c>
      <c r="G24" s="50">
        <v>0</v>
      </c>
      <c r="H24" s="51">
        <v>0</v>
      </c>
      <c r="I24" s="52">
        <v>0</v>
      </c>
      <c r="J24" s="46">
        <v>0</v>
      </c>
      <c r="K24" s="46">
        <v>0</v>
      </c>
      <c r="L24" s="46">
        <v>0</v>
      </c>
      <c r="M24" s="46">
        <v>0</v>
      </c>
      <c r="N24" s="53"/>
      <c r="O24" s="58" t="str">
        <f t="shared" si="2"/>
        <v/>
      </c>
      <c r="P24" s="55"/>
    </row>
    <row r="25" spans="1:16" ht="21.75" customHeight="1" x14ac:dyDescent="0.3">
      <c r="A25" s="56" t="str">
        <f>IF(B25="","",VLOOKUP(B25,Lists!$A:$B,2,FALSE()))</f>
        <v/>
      </c>
      <c r="B25" s="45"/>
      <c r="C25" s="46">
        <v>0</v>
      </c>
      <c r="D25" s="57">
        <f>IF(B25="",0,E25+F25+G25+H25)</f>
        <v>0</v>
      </c>
      <c r="E25" s="48">
        <v>0</v>
      </c>
      <c r="F25" s="49">
        <v>0</v>
      </c>
      <c r="G25" s="50">
        <v>0</v>
      </c>
      <c r="H25" s="51">
        <v>0</v>
      </c>
      <c r="I25" s="52">
        <v>0</v>
      </c>
      <c r="J25" s="46">
        <v>0</v>
      </c>
      <c r="K25" s="46">
        <v>0</v>
      </c>
      <c r="L25" s="46">
        <v>0</v>
      </c>
      <c r="M25" s="46">
        <v>0</v>
      </c>
      <c r="N25" s="53"/>
      <c r="O25" s="58" t="str">
        <f t="shared" si="2"/>
        <v/>
      </c>
      <c r="P25" s="55"/>
    </row>
    <row r="26" spans="1:16" ht="21.75" customHeight="1" x14ac:dyDescent="0.3">
      <c r="A26" s="56" t="str">
        <f>IF(B26="","",VLOOKUP(B26,Lists!$A:$B,2,FALSE()))</f>
        <v/>
      </c>
      <c r="B26" s="45"/>
      <c r="C26" s="46">
        <v>0</v>
      </c>
      <c r="D26" s="57">
        <f>IF(B26="",0,E26+F26+G26+H26)</f>
        <v>0</v>
      </c>
      <c r="E26" s="48">
        <v>0</v>
      </c>
      <c r="F26" s="49">
        <v>0</v>
      </c>
      <c r="G26" s="50">
        <v>0</v>
      </c>
      <c r="H26" s="51">
        <v>0</v>
      </c>
      <c r="I26" s="52">
        <v>0</v>
      </c>
      <c r="J26" s="46">
        <v>0</v>
      </c>
      <c r="K26" s="46">
        <v>0</v>
      </c>
      <c r="L26" s="46">
        <v>0</v>
      </c>
      <c r="M26" s="46">
        <v>0</v>
      </c>
      <c r="N26" s="53"/>
      <c r="O26" s="58" t="str">
        <f t="shared" si="2"/>
        <v/>
      </c>
      <c r="P26" s="55"/>
    </row>
    <row r="27" spans="1:16" ht="18" customHeight="1" x14ac:dyDescent="0.3">
      <c r="A27" s="101" t="s">
        <v>35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</row>
    <row r="28" spans="1:16" ht="21.75" customHeight="1" x14ac:dyDescent="0.3">
      <c r="A28" s="59" t="str">
        <f>IF(B28="","",VLOOKUP(B28,Lists!$A:$B,2,FALSE()))</f>
        <v>DRILL COLLAR</v>
      </c>
      <c r="B28" s="45" t="s">
        <v>43</v>
      </c>
      <c r="C28" s="46">
        <v>0</v>
      </c>
      <c r="D28" s="60">
        <v>10</v>
      </c>
      <c r="E28" s="48">
        <v>10</v>
      </c>
      <c r="F28" s="49">
        <v>0</v>
      </c>
      <c r="G28" s="50">
        <v>0</v>
      </c>
      <c r="H28" s="51">
        <v>0</v>
      </c>
      <c r="I28" s="52">
        <v>0</v>
      </c>
      <c r="J28" s="46">
        <v>0</v>
      </c>
      <c r="K28" s="46">
        <v>0</v>
      </c>
      <c r="L28" s="46">
        <v>0</v>
      </c>
      <c r="M28" s="46">
        <v>0</v>
      </c>
      <c r="N28" s="53"/>
      <c r="O28" s="61" t="str">
        <f t="shared" ref="O28:O35" si="3">IF(B28="","",IF((E28+F28)-C28&gt;=0,"OK",(E28+F28)-C28))</f>
        <v>OK</v>
      </c>
      <c r="P28" s="55"/>
    </row>
    <row r="29" spans="1:16" ht="21.75" customHeight="1" x14ac:dyDescent="0.3">
      <c r="A29" s="59" t="str">
        <f>IF(B29="","",VLOOKUP(B29,Lists!$A:$B,2,FALSE()))</f>
        <v/>
      </c>
      <c r="B29" s="45"/>
      <c r="C29" s="46">
        <v>0</v>
      </c>
      <c r="D29" s="60">
        <f t="shared" ref="D29:D35" si="4">IF(B29="",0,E29+F29+G29+H29)</f>
        <v>0</v>
      </c>
      <c r="E29" s="48">
        <v>0</v>
      </c>
      <c r="F29" s="49">
        <v>0</v>
      </c>
      <c r="G29" s="50">
        <v>0</v>
      </c>
      <c r="H29" s="51">
        <v>0</v>
      </c>
      <c r="I29" s="52">
        <v>0</v>
      </c>
      <c r="J29" s="46">
        <v>0</v>
      </c>
      <c r="K29" s="46">
        <v>0</v>
      </c>
      <c r="L29" s="46">
        <v>0</v>
      </c>
      <c r="M29" s="46">
        <v>0</v>
      </c>
      <c r="N29" s="53"/>
      <c r="O29" s="61" t="str">
        <f t="shared" si="3"/>
        <v/>
      </c>
      <c r="P29" s="55"/>
    </row>
    <row r="30" spans="1:16" ht="21.75" customHeight="1" x14ac:dyDescent="0.3">
      <c r="A30" s="59" t="str">
        <f>IF(B30="","",VLOOKUP(B30,Lists!$A:$B,2,FALSE()))</f>
        <v/>
      </c>
      <c r="B30" s="45"/>
      <c r="C30" s="46">
        <v>0</v>
      </c>
      <c r="D30" s="60">
        <f t="shared" si="4"/>
        <v>0</v>
      </c>
      <c r="E30" s="48">
        <v>0</v>
      </c>
      <c r="F30" s="49">
        <v>0</v>
      </c>
      <c r="G30" s="50">
        <v>0</v>
      </c>
      <c r="H30" s="51">
        <v>0</v>
      </c>
      <c r="I30" s="52">
        <v>0</v>
      </c>
      <c r="J30" s="46">
        <v>0</v>
      </c>
      <c r="K30" s="46">
        <v>0</v>
      </c>
      <c r="L30" s="46">
        <v>0</v>
      </c>
      <c r="M30" s="46">
        <v>0</v>
      </c>
      <c r="N30" s="53"/>
      <c r="O30" s="61" t="str">
        <f t="shared" si="3"/>
        <v/>
      </c>
      <c r="P30" s="55"/>
    </row>
    <row r="31" spans="1:16" ht="21.75" customHeight="1" x14ac:dyDescent="0.3">
      <c r="A31" s="59" t="str">
        <f>IF(B31="","",VLOOKUP(B31,Lists!$A:$B,2,FALSE()))</f>
        <v/>
      </c>
      <c r="B31" s="45"/>
      <c r="C31" s="46">
        <v>0</v>
      </c>
      <c r="D31" s="60">
        <f t="shared" si="4"/>
        <v>0</v>
      </c>
      <c r="E31" s="48">
        <v>0</v>
      </c>
      <c r="F31" s="49">
        <v>0</v>
      </c>
      <c r="G31" s="50">
        <v>0</v>
      </c>
      <c r="H31" s="51">
        <v>0</v>
      </c>
      <c r="I31" s="52">
        <v>0</v>
      </c>
      <c r="J31" s="46">
        <v>0</v>
      </c>
      <c r="K31" s="46">
        <v>0</v>
      </c>
      <c r="L31" s="46">
        <v>0</v>
      </c>
      <c r="M31" s="46">
        <v>0</v>
      </c>
      <c r="N31" s="53"/>
      <c r="O31" s="61" t="str">
        <f t="shared" si="3"/>
        <v/>
      </c>
      <c r="P31" s="55"/>
    </row>
    <row r="32" spans="1:16" ht="21.75" customHeight="1" x14ac:dyDescent="0.3">
      <c r="A32" s="59" t="str">
        <f>IF(B32="","",VLOOKUP(B32,Lists!$A:$B,2,FALSE()))</f>
        <v/>
      </c>
      <c r="B32" s="45"/>
      <c r="C32" s="46">
        <v>0</v>
      </c>
      <c r="D32" s="60">
        <f t="shared" si="4"/>
        <v>0</v>
      </c>
      <c r="E32" s="48">
        <v>0</v>
      </c>
      <c r="F32" s="49">
        <v>0</v>
      </c>
      <c r="G32" s="50">
        <v>0</v>
      </c>
      <c r="H32" s="51">
        <v>0</v>
      </c>
      <c r="I32" s="52">
        <v>0</v>
      </c>
      <c r="J32" s="46">
        <v>0</v>
      </c>
      <c r="K32" s="46">
        <v>0</v>
      </c>
      <c r="L32" s="46">
        <v>0</v>
      </c>
      <c r="M32" s="46">
        <v>0</v>
      </c>
      <c r="N32" s="53"/>
      <c r="O32" s="61" t="str">
        <f t="shared" si="3"/>
        <v/>
      </c>
      <c r="P32" s="55"/>
    </row>
    <row r="33" spans="1:16" ht="21.75" customHeight="1" x14ac:dyDescent="0.3">
      <c r="A33" s="59" t="str">
        <f>IF(B33="","",VLOOKUP(B33,Lists!$A:$B,2,FALSE()))</f>
        <v/>
      </c>
      <c r="B33" s="45"/>
      <c r="C33" s="46">
        <v>0</v>
      </c>
      <c r="D33" s="60">
        <f t="shared" si="4"/>
        <v>0</v>
      </c>
      <c r="E33" s="48">
        <v>0</v>
      </c>
      <c r="F33" s="49">
        <v>0</v>
      </c>
      <c r="G33" s="50">
        <v>0</v>
      </c>
      <c r="H33" s="51">
        <v>0</v>
      </c>
      <c r="I33" s="52">
        <v>0</v>
      </c>
      <c r="J33" s="46">
        <v>0</v>
      </c>
      <c r="K33" s="46">
        <v>0</v>
      </c>
      <c r="L33" s="46">
        <v>0</v>
      </c>
      <c r="M33" s="46">
        <v>0</v>
      </c>
      <c r="N33" s="53"/>
      <c r="O33" s="61" t="str">
        <f t="shared" si="3"/>
        <v/>
      </c>
      <c r="P33" s="55"/>
    </row>
    <row r="34" spans="1:16" ht="21.75" customHeight="1" x14ac:dyDescent="0.3">
      <c r="A34" s="59" t="str">
        <f>IF(B34="","",VLOOKUP(B34,Lists!$A:$B,2,FALSE()))</f>
        <v/>
      </c>
      <c r="B34" s="45"/>
      <c r="C34" s="46">
        <v>0</v>
      </c>
      <c r="D34" s="60">
        <f t="shared" si="4"/>
        <v>0</v>
      </c>
      <c r="E34" s="48">
        <v>0</v>
      </c>
      <c r="F34" s="49">
        <v>0</v>
      </c>
      <c r="G34" s="50">
        <v>0</v>
      </c>
      <c r="H34" s="51">
        <v>0</v>
      </c>
      <c r="I34" s="52">
        <v>0</v>
      </c>
      <c r="J34" s="46">
        <v>0</v>
      </c>
      <c r="K34" s="46">
        <v>0</v>
      </c>
      <c r="L34" s="46">
        <v>0</v>
      </c>
      <c r="M34" s="46">
        <v>0</v>
      </c>
      <c r="N34" s="53"/>
      <c r="O34" s="61" t="str">
        <f t="shared" si="3"/>
        <v/>
      </c>
      <c r="P34" s="55"/>
    </row>
    <row r="35" spans="1:16" ht="21.75" customHeight="1" x14ac:dyDescent="0.3">
      <c r="A35" s="59" t="str">
        <f>IF(B35="","",VLOOKUP(B35,Lists!$A:$B,2,FALSE()))</f>
        <v/>
      </c>
      <c r="B35" s="45"/>
      <c r="C35" s="46">
        <v>0</v>
      </c>
      <c r="D35" s="60">
        <f t="shared" si="4"/>
        <v>0</v>
      </c>
      <c r="E35" s="48">
        <v>0</v>
      </c>
      <c r="F35" s="49">
        <v>0</v>
      </c>
      <c r="G35" s="50">
        <v>0</v>
      </c>
      <c r="H35" s="51">
        <v>0</v>
      </c>
      <c r="I35" s="52">
        <v>0</v>
      </c>
      <c r="J35" s="46">
        <v>0</v>
      </c>
      <c r="K35" s="46">
        <v>0</v>
      </c>
      <c r="L35" s="46">
        <v>0</v>
      </c>
      <c r="M35" s="46">
        <v>0</v>
      </c>
      <c r="N35" s="53"/>
      <c r="O35" s="61" t="str">
        <f t="shared" si="3"/>
        <v/>
      </c>
      <c r="P35" s="55"/>
    </row>
    <row r="36" spans="1:16" ht="18" customHeight="1" x14ac:dyDescent="0.3">
      <c r="A36" s="102" t="s">
        <v>44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1:16" ht="21.75" customHeight="1" x14ac:dyDescent="0.3">
      <c r="A37" s="62" t="str">
        <f>IF(B37="","",VLOOKUP(B37,Lists!$A:$B,2,FALSE()))</f>
        <v>PUP JOINT</v>
      </c>
      <c r="B37" s="45" t="s">
        <v>357</v>
      </c>
      <c r="C37" s="46">
        <v>0</v>
      </c>
      <c r="D37" s="63">
        <v>80</v>
      </c>
      <c r="E37" s="48">
        <v>80</v>
      </c>
      <c r="F37" s="49">
        <v>0</v>
      </c>
      <c r="G37" s="50">
        <v>0</v>
      </c>
      <c r="H37" s="51">
        <v>0</v>
      </c>
      <c r="I37" s="52">
        <v>0</v>
      </c>
      <c r="J37" s="46">
        <v>0</v>
      </c>
      <c r="K37" s="46">
        <v>0</v>
      </c>
      <c r="L37" s="46">
        <v>0</v>
      </c>
      <c r="M37" s="46">
        <v>0</v>
      </c>
      <c r="N37" s="53"/>
      <c r="O37" s="64" t="str">
        <f t="shared" ref="O37:O49" si="5">IF(B37="","",IF((E37+F37)-C37&gt;=0,"OK",(E37+F37)-C37))</f>
        <v>OK</v>
      </c>
      <c r="P37" s="75" t="s">
        <v>358</v>
      </c>
    </row>
    <row r="38" spans="1:16" ht="21.75" customHeight="1" x14ac:dyDescent="0.3">
      <c r="A38" s="62" t="str">
        <f>IF(B38="","",VLOOKUP(B38,Lists!$A:$B,2,FALSE()))</f>
        <v/>
      </c>
      <c r="B38" s="45"/>
      <c r="C38" s="46">
        <v>0</v>
      </c>
      <c r="D38" s="63">
        <f t="shared" ref="D38:D49" si="6">IF(B38="",0,E38+F38+G38+H38)</f>
        <v>0</v>
      </c>
      <c r="E38" s="48">
        <v>0</v>
      </c>
      <c r="F38" s="49">
        <v>0</v>
      </c>
      <c r="G38" s="50">
        <v>0</v>
      </c>
      <c r="H38" s="51">
        <v>0</v>
      </c>
      <c r="I38" s="52">
        <v>0</v>
      </c>
      <c r="J38" s="46">
        <v>0</v>
      </c>
      <c r="K38" s="46">
        <v>0</v>
      </c>
      <c r="L38" s="46">
        <v>0</v>
      </c>
      <c r="M38" s="46">
        <v>0</v>
      </c>
      <c r="N38" s="53"/>
      <c r="O38" s="64" t="str">
        <f t="shared" si="5"/>
        <v/>
      </c>
      <c r="P38" s="55"/>
    </row>
    <row r="39" spans="1:16" ht="21.75" customHeight="1" x14ac:dyDescent="0.3">
      <c r="A39" s="62" t="str">
        <f>IF(B39="","",VLOOKUP(B39,Lists!$A:$B,2,FALSE()))</f>
        <v/>
      </c>
      <c r="B39" s="45"/>
      <c r="C39" s="46">
        <v>0</v>
      </c>
      <c r="D39" s="63">
        <f t="shared" si="6"/>
        <v>0</v>
      </c>
      <c r="E39" s="48">
        <v>0</v>
      </c>
      <c r="F39" s="49">
        <v>0</v>
      </c>
      <c r="G39" s="50">
        <v>0</v>
      </c>
      <c r="H39" s="51">
        <v>0</v>
      </c>
      <c r="I39" s="52">
        <v>0</v>
      </c>
      <c r="J39" s="46">
        <v>0</v>
      </c>
      <c r="K39" s="46">
        <v>0</v>
      </c>
      <c r="L39" s="46">
        <v>0</v>
      </c>
      <c r="M39" s="46">
        <v>0</v>
      </c>
      <c r="N39" s="53"/>
      <c r="O39" s="64" t="str">
        <f t="shared" si="5"/>
        <v/>
      </c>
      <c r="P39" s="55"/>
    </row>
    <row r="40" spans="1:16" ht="21.75" customHeight="1" x14ac:dyDescent="0.3">
      <c r="A40" s="62" t="str">
        <f>IF(B40="","",VLOOKUP(B40,Lists!$A:$B,2,FALSE()))</f>
        <v/>
      </c>
      <c r="B40" s="45"/>
      <c r="C40" s="46">
        <v>0</v>
      </c>
      <c r="D40" s="63">
        <f t="shared" si="6"/>
        <v>0</v>
      </c>
      <c r="E40" s="48">
        <v>0</v>
      </c>
      <c r="F40" s="49">
        <v>0</v>
      </c>
      <c r="G40" s="50">
        <v>0</v>
      </c>
      <c r="H40" s="51">
        <v>0</v>
      </c>
      <c r="I40" s="52">
        <v>0</v>
      </c>
      <c r="J40" s="46">
        <v>0</v>
      </c>
      <c r="K40" s="46">
        <v>0</v>
      </c>
      <c r="L40" s="46">
        <v>0</v>
      </c>
      <c r="M40" s="46">
        <v>0</v>
      </c>
      <c r="N40" s="53"/>
      <c r="O40" s="64" t="str">
        <f t="shared" si="5"/>
        <v/>
      </c>
      <c r="P40" s="55"/>
    </row>
    <row r="41" spans="1:16" ht="21.75" customHeight="1" x14ac:dyDescent="0.3">
      <c r="A41" s="62" t="str">
        <f>IF(B41="","",VLOOKUP(B41,Lists!$A:$B,2,FALSE()))</f>
        <v/>
      </c>
      <c r="B41" s="45"/>
      <c r="C41" s="46">
        <v>0</v>
      </c>
      <c r="D41" s="63">
        <f t="shared" si="6"/>
        <v>0</v>
      </c>
      <c r="E41" s="48">
        <v>0</v>
      </c>
      <c r="F41" s="49">
        <v>0</v>
      </c>
      <c r="G41" s="50">
        <v>0</v>
      </c>
      <c r="H41" s="51">
        <v>0</v>
      </c>
      <c r="I41" s="52">
        <v>0</v>
      </c>
      <c r="J41" s="46">
        <v>0</v>
      </c>
      <c r="K41" s="46">
        <v>0</v>
      </c>
      <c r="L41" s="46">
        <v>0</v>
      </c>
      <c r="M41" s="46">
        <v>0</v>
      </c>
      <c r="N41" s="53"/>
      <c r="O41" s="64" t="str">
        <f t="shared" si="5"/>
        <v/>
      </c>
      <c r="P41" s="55"/>
    </row>
    <row r="42" spans="1:16" ht="21.75" customHeight="1" x14ac:dyDescent="0.3">
      <c r="A42" s="62" t="str">
        <f>IF(B42="","",VLOOKUP(B42,Lists!$A:$B,2,FALSE()))</f>
        <v/>
      </c>
      <c r="B42" s="45"/>
      <c r="C42" s="46">
        <v>0</v>
      </c>
      <c r="D42" s="63">
        <f t="shared" si="6"/>
        <v>0</v>
      </c>
      <c r="E42" s="48">
        <v>0</v>
      </c>
      <c r="F42" s="49">
        <v>0</v>
      </c>
      <c r="G42" s="50">
        <v>0</v>
      </c>
      <c r="H42" s="51">
        <v>0</v>
      </c>
      <c r="I42" s="52">
        <v>0</v>
      </c>
      <c r="J42" s="46">
        <v>0</v>
      </c>
      <c r="K42" s="46">
        <v>0</v>
      </c>
      <c r="L42" s="46">
        <v>0</v>
      </c>
      <c r="M42" s="46">
        <v>0</v>
      </c>
      <c r="N42" s="53"/>
      <c r="O42" s="64" t="str">
        <f t="shared" si="5"/>
        <v/>
      </c>
      <c r="P42" s="55"/>
    </row>
    <row r="43" spans="1:16" ht="21.75" customHeight="1" x14ac:dyDescent="0.3">
      <c r="A43" s="62" t="str">
        <f>IF(B43="","",VLOOKUP(B43,Lists!$A:$B,2,FALSE()))</f>
        <v/>
      </c>
      <c r="B43" s="45"/>
      <c r="C43" s="46">
        <v>0</v>
      </c>
      <c r="D43" s="63">
        <f t="shared" si="6"/>
        <v>0</v>
      </c>
      <c r="E43" s="48">
        <v>0</v>
      </c>
      <c r="F43" s="49">
        <v>0</v>
      </c>
      <c r="G43" s="50">
        <v>0</v>
      </c>
      <c r="H43" s="51">
        <v>0</v>
      </c>
      <c r="I43" s="52">
        <v>0</v>
      </c>
      <c r="J43" s="46">
        <v>0</v>
      </c>
      <c r="K43" s="46">
        <v>0</v>
      </c>
      <c r="L43" s="46">
        <v>0</v>
      </c>
      <c r="M43" s="46">
        <v>0</v>
      </c>
      <c r="N43" s="53"/>
      <c r="O43" s="64" t="str">
        <f t="shared" si="5"/>
        <v/>
      </c>
      <c r="P43" s="55"/>
    </row>
    <row r="44" spans="1:16" ht="21.75" customHeight="1" x14ac:dyDescent="0.3">
      <c r="A44" s="62" t="str">
        <f>IF(B44="","",VLOOKUP(B44,Lists!$A:$B,2,FALSE()))</f>
        <v/>
      </c>
      <c r="B44" s="45"/>
      <c r="C44" s="46">
        <v>0</v>
      </c>
      <c r="D44" s="63">
        <f t="shared" si="6"/>
        <v>0</v>
      </c>
      <c r="E44" s="48">
        <v>0</v>
      </c>
      <c r="F44" s="49">
        <v>0</v>
      </c>
      <c r="G44" s="50">
        <v>0</v>
      </c>
      <c r="H44" s="51">
        <v>0</v>
      </c>
      <c r="I44" s="52">
        <v>0</v>
      </c>
      <c r="J44" s="46">
        <v>0</v>
      </c>
      <c r="K44" s="46">
        <v>0</v>
      </c>
      <c r="L44" s="46">
        <v>0</v>
      </c>
      <c r="M44" s="46">
        <v>0</v>
      </c>
      <c r="N44" s="53"/>
      <c r="O44" s="64" t="str">
        <f t="shared" si="5"/>
        <v/>
      </c>
      <c r="P44" s="55"/>
    </row>
    <row r="45" spans="1:16" ht="21.75" customHeight="1" x14ac:dyDescent="0.3">
      <c r="A45" s="62" t="str">
        <f>IF(B45="","",VLOOKUP(B45,Lists!$A:$B,2,FALSE()))</f>
        <v/>
      </c>
      <c r="B45" s="45"/>
      <c r="C45" s="46">
        <v>0</v>
      </c>
      <c r="D45" s="63">
        <f t="shared" si="6"/>
        <v>0</v>
      </c>
      <c r="E45" s="48">
        <v>0</v>
      </c>
      <c r="F45" s="49">
        <v>0</v>
      </c>
      <c r="G45" s="50">
        <v>0</v>
      </c>
      <c r="H45" s="51">
        <v>0</v>
      </c>
      <c r="I45" s="52">
        <v>0</v>
      </c>
      <c r="J45" s="46">
        <v>0</v>
      </c>
      <c r="K45" s="46">
        <v>0</v>
      </c>
      <c r="L45" s="46">
        <v>0</v>
      </c>
      <c r="M45" s="46">
        <v>0</v>
      </c>
      <c r="N45" s="53"/>
      <c r="O45" s="64" t="str">
        <f t="shared" si="5"/>
        <v/>
      </c>
      <c r="P45" s="55"/>
    </row>
    <row r="46" spans="1:16" ht="21.75" customHeight="1" x14ac:dyDescent="0.3">
      <c r="A46" s="62" t="str">
        <f>IF(B46="","",VLOOKUP(B46,Lists!$A:$B,2,FALSE()))</f>
        <v/>
      </c>
      <c r="B46" s="45"/>
      <c r="C46" s="46">
        <v>0</v>
      </c>
      <c r="D46" s="63">
        <f t="shared" si="6"/>
        <v>0</v>
      </c>
      <c r="E46" s="48">
        <v>0</v>
      </c>
      <c r="F46" s="49">
        <v>0</v>
      </c>
      <c r="G46" s="50">
        <v>0</v>
      </c>
      <c r="H46" s="51">
        <v>0</v>
      </c>
      <c r="I46" s="52">
        <v>0</v>
      </c>
      <c r="J46" s="46">
        <v>0</v>
      </c>
      <c r="K46" s="46">
        <v>0</v>
      </c>
      <c r="L46" s="46">
        <v>0</v>
      </c>
      <c r="M46" s="46">
        <v>0</v>
      </c>
      <c r="N46" s="53"/>
      <c r="O46" s="64" t="str">
        <f t="shared" si="5"/>
        <v/>
      </c>
      <c r="P46" s="55"/>
    </row>
    <row r="47" spans="1:16" ht="21.75" customHeight="1" x14ac:dyDescent="0.3">
      <c r="A47" s="62" t="str">
        <f>IF(B47="","",VLOOKUP(B47,Lists!$A:$B,2,FALSE()))</f>
        <v/>
      </c>
      <c r="B47" s="45"/>
      <c r="C47" s="46">
        <v>0</v>
      </c>
      <c r="D47" s="63">
        <f t="shared" si="6"/>
        <v>0</v>
      </c>
      <c r="E47" s="48">
        <v>0</v>
      </c>
      <c r="F47" s="49">
        <v>0</v>
      </c>
      <c r="G47" s="50">
        <v>0</v>
      </c>
      <c r="H47" s="51">
        <v>0</v>
      </c>
      <c r="I47" s="52">
        <v>0</v>
      </c>
      <c r="J47" s="46">
        <v>0</v>
      </c>
      <c r="K47" s="46">
        <v>0</v>
      </c>
      <c r="L47" s="46">
        <v>0</v>
      </c>
      <c r="M47" s="46">
        <v>0</v>
      </c>
      <c r="N47" s="53"/>
      <c r="O47" s="64" t="str">
        <f t="shared" si="5"/>
        <v/>
      </c>
      <c r="P47" s="55"/>
    </row>
    <row r="48" spans="1:16" ht="21.75" customHeight="1" x14ac:dyDescent="0.3">
      <c r="A48" s="62" t="str">
        <f>IF(B48="","",VLOOKUP(B48,Lists!$A:$B,2,FALSE()))</f>
        <v/>
      </c>
      <c r="B48" s="45"/>
      <c r="C48" s="46">
        <v>0</v>
      </c>
      <c r="D48" s="63">
        <f t="shared" si="6"/>
        <v>0</v>
      </c>
      <c r="E48" s="48">
        <v>0</v>
      </c>
      <c r="F48" s="49">
        <v>0</v>
      </c>
      <c r="G48" s="50">
        <v>0</v>
      </c>
      <c r="H48" s="51">
        <v>0</v>
      </c>
      <c r="I48" s="52">
        <v>0</v>
      </c>
      <c r="J48" s="46">
        <v>0</v>
      </c>
      <c r="K48" s="46">
        <v>0</v>
      </c>
      <c r="L48" s="46">
        <v>0</v>
      </c>
      <c r="M48" s="46">
        <v>0</v>
      </c>
      <c r="N48" s="53"/>
      <c r="O48" s="64" t="str">
        <f t="shared" si="5"/>
        <v/>
      </c>
      <c r="P48" s="55"/>
    </row>
    <row r="49" spans="1:16" ht="21.75" customHeight="1" x14ac:dyDescent="0.3">
      <c r="A49" s="62" t="str">
        <f>IF(B49="","",VLOOKUP(B49,Lists!$A:$B,2,FALSE()))</f>
        <v/>
      </c>
      <c r="B49" s="45"/>
      <c r="C49" s="46">
        <v>0</v>
      </c>
      <c r="D49" s="63">
        <f t="shared" si="6"/>
        <v>0</v>
      </c>
      <c r="E49" s="48">
        <v>0</v>
      </c>
      <c r="F49" s="49">
        <v>0</v>
      </c>
      <c r="G49" s="50">
        <v>0</v>
      </c>
      <c r="H49" s="51">
        <v>0</v>
      </c>
      <c r="I49" s="52">
        <v>0</v>
      </c>
      <c r="J49" s="46">
        <v>0</v>
      </c>
      <c r="K49" s="46">
        <v>0</v>
      </c>
      <c r="L49" s="46">
        <v>0</v>
      </c>
      <c r="M49" s="46">
        <v>0</v>
      </c>
      <c r="N49" s="53"/>
      <c r="O49" s="64" t="str">
        <f t="shared" si="5"/>
        <v/>
      </c>
      <c r="P49" s="55"/>
    </row>
    <row r="50" spans="1:16" ht="19.5" customHeight="1" x14ac:dyDescent="0.3">
      <c r="A50" s="103" t="s">
        <v>223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</row>
    <row r="51" spans="1:16" ht="18" customHeight="1" x14ac:dyDescent="0.3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</row>
    <row r="52" spans="1:16" ht="18" customHeight="1" x14ac:dyDescent="0.3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</row>
    <row r="53" spans="1:16" ht="18" customHeight="1" x14ac:dyDescent="0.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</row>
    <row r="54" spans="1:16" ht="18" customHeight="1" x14ac:dyDescent="0.3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</row>
    <row r="55" spans="1:16" ht="18" customHeight="1" x14ac:dyDescent="0.3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</row>
  </sheetData>
  <sheetProtection algorithmName="SHA-512" hashValue="lWCoi4qQXiJv8Kre72T4gsLjX2qMj4Dw6022LjcjweN6zB11eIkeqa6Ihg2fKStuAe3GhSdtRlSIR+RdnLy5Sw==" saltValue="HCeaLdLLasx81smFCw59cg==" spinCount="100000" sheet="1" objects="1" scenarios="1"/>
  <protectedRanges>
    <protectedRange sqref="A1:A1048576 B1:B1048576 E1:E1048576 F1:F1048576 G1:G1048576 H1:H1048576 I1:I1048576 J1:J1048576 K1:K1048576 L1:L1048576 A1:P1 M1:M1048576 N1:N1048576 P1:P1048576" name="Range1"/>
  </protectedRanges>
  <mergeCells count="21">
    <mergeCell ref="A1:P1"/>
    <mergeCell ref="D2:E2"/>
    <mergeCell ref="A4:A5"/>
    <mergeCell ref="B4:B5"/>
    <mergeCell ref="C4:C5"/>
    <mergeCell ref="D4:D5"/>
    <mergeCell ref="E4:H4"/>
    <mergeCell ref="I4:I5"/>
    <mergeCell ref="J4:J5"/>
    <mergeCell ref="K4:K5"/>
    <mergeCell ref="L4:L5"/>
    <mergeCell ref="M4:M5"/>
    <mergeCell ref="N4:N5"/>
    <mergeCell ref="O4:O5"/>
    <mergeCell ref="P4:P5"/>
    <mergeCell ref="A51:P55"/>
    <mergeCell ref="A6:P6"/>
    <mergeCell ref="A20:P20"/>
    <mergeCell ref="A27:P27"/>
    <mergeCell ref="A36:P36"/>
    <mergeCell ref="A50:P50"/>
  </mergeCells>
  <conditionalFormatting sqref="O7:O49">
    <cfRule type="cellIs" dxfId="1" priority="2" operator="lessThan">
      <formula>0</formula>
    </cfRule>
    <cfRule type="expression" dxfId="0" priority="3">
      <formula>O7="OK"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" error="Select from dropdown." promptTitle="Tubular Type" prompt="Pick tubular type" xr:uid="{00000000-0002-0000-2300-000000000000}">
          <x14:formula1>
            <xm:f>Lists!$A$2:$A$15</xm:f>
          </x14:formula1>
          <x14:formula2>
            <xm:f>0</xm:f>
          </x14:formula2>
          <xm:sqref>B7:B19</xm:sqref>
        </x14:dataValidation>
        <x14:dataValidation type="list" allowBlank="1" showErrorMessage="1" errorTitle="Invalid" error="Select from dropdown." promptTitle="Tubular Type" prompt="Pick tubular type" xr:uid="{00000000-0002-0000-2300-000001000000}">
          <x14:formula1>
            <xm:f>Lists!$A$16:$A$21</xm:f>
          </x14:formula1>
          <x14:formula2>
            <xm:f>0</xm:f>
          </x14:formula2>
          <xm:sqref>B21:B26</xm:sqref>
        </x14:dataValidation>
        <x14:dataValidation type="list" allowBlank="1" showErrorMessage="1" errorTitle="Invalid" error="Select from dropdown." promptTitle="Tubular Type" prompt="Pick tubular type" xr:uid="{00000000-0002-0000-2300-000002000000}">
          <x14:formula1>
            <xm:f>Lists!$A$22:$A$29</xm:f>
          </x14:formula1>
          <x14:formula2>
            <xm:f>0</xm:f>
          </x14:formula2>
          <xm:sqref>B28:B35</xm:sqref>
        </x14:dataValidation>
        <x14:dataValidation type="list" allowBlank="1" showErrorMessage="1" errorTitle="Invalid" error="Select from dropdown." promptTitle="Tubular Type" prompt="Pick tubular type" xr:uid="{00000000-0002-0000-2300-000003000000}">
          <x14:formula1>
            <xm:f>Lists!$A$30:$A$43</xm:f>
          </x14:formula1>
          <x14:formula2>
            <xm:f>0</xm:f>
          </x14:formula2>
          <xm:sqref>B37:B49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43"/>
  <sheetViews>
    <sheetView zoomScaleNormal="100" workbookViewId="0"/>
  </sheetViews>
  <sheetFormatPr defaultColWidth="8.6640625" defaultRowHeight="14.4" x14ac:dyDescent="0.3"/>
  <cols>
    <col min="1" max="1" width="50" customWidth="1"/>
    <col min="2" max="2" width="16" customWidth="1"/>
  </cols>
  <sheetData>
    <row r="1" spans="1:2" x14ac:dyDescent="0.3">
      <c r="A1" s="65" t="s">
        <v>5</v>
      </c>
      <c r="B1" s="65" t="s">
        <v>207</v>
      </c>
    </row>
    <row r="2" spans="1:2" x14ac:dyDescent="0.3">
      <c r="A2" s="66" t="s">
        <v>15</v>
      </c>
      <c r="B2" s="67" t="s">
        <v>361</v>
      </c>
    </row>
    <row r="3" spans="1:2" x14ac:dyDescent="0.3">
      <c r="A3" s="66" t="s">
        <v>16</v>
      </c>
      <c r="B3" s="67" t="s">
        <v>361</v>
      </c>
    </row>
    <row r="4" spans="1:2" x14ac:dyDescent="0.3">
      <c r="A4" s="66" t="s">
        <v>17</v>
      </c>
      <c r="B4" s="67" t="s">
        <v>361</v>
      </c>
    </row>
    <row r="5" spans="1:2" x14ac:dyDescent="0.3">
      <c r="A5" s="66" t="s">
        <v>18</v>
      </c>
      <c r="B5" s="67" t="s">
        <v>361</v>
      </c>
    </row>
    <row r="6" spans="1:2" x14ac:dyDescent="0.3">
      <c r="A6" s="66" t="s">
        <v>19</v>
      </c>
      <c r="B6" s="67" t="s">
        <v>361</v>
      </c>
    </row>
    <row r="7" spans="1:2" x14ac:dyDescent="0.3">
      <c r="A7" s="66" t="s">
        <v>20</v>
      </c>
      <c r="B7" s="67" t="s">
        <v>361</v>
      </c>
    </row>
    <row r="8" spans="1:2" x14ac:dyDescent="0.3">
      <c r="A8" s="66" t="s">
        <v>21</v>
      </c>
      <c r="B8" s="67" t="s">
        <v>361</v>
      </c>
    </row>
    <row r="9" spans="1:2" x14ac:dyDescent="0.3">
      <c r="A9" s="66" t="s">
        <v>22</v>
      </c>
      <c r="B9" s="67" t="s">
        <v>361</v>
      </c>
    </row>
    <row r="10" spans="1:2" x14ac:dyDescent="0.3">
      <c r="A10" s="66" t="s">
        <v>23</v>
      </c>
      <c r="B10" s="67" t="s">
        <v>361</v>
      </c>
    </row>
    <row r="11" spans="1:2" x14ac:dyDescent="0.3">
      <c r="A11" s="66" t="s">
        <v>24</v>
      </c>
      <c r="B11" s="67" t="s">
        <v>361</v>
      </c>
    </row>
    <row r="12" spans="1:2" x14ac:dyDescent="0.3">
      <c r="A12" s="66" t="s">
        <v>25</v>
      </c>
      <c r="B12" s="67" t="s">
        <v>361</v>
      </c>
    </row>
    <row r="13" spans="1:2" x14ac:dyDescent="0.3">
      <c r="A13" s="66" t="s">
        <v>26</v>
      </c>
      <c r="B13" s="67" t="s">
        <v>361</v>
      </c>
    </row>
    <row r="14" spans="1:2" x14ac:dyDescent="0.3">
      <c r="A14" s="66" t="s">
        <v>27</v>
      </c>
      <c r="B14" s="67" t="s">
        <v>361</v>
      </c>
    </row>
    <row r="15" spans="1:2" x14ac:dyDescent="0.3">
      <c r="A15" s="66" t="s">
        <v>349</v>
      </c>
      <c r="B15" s="67" t="s">
        <v>361</v>
      </c>
    </row>
    <row r="16" spans="1:2" x14ac:dyDescent="0.3">
      <c r="A16" s="68" t="s">
        <v>29</v>
      </c>
      <c r="B16" s="69" t="s">
        <v>362</v>
      </c>
    </row>
    <row r="17" spans="1:2" x14ac:dyDescent="0.3">
      <c r="A17" s="68" t="s">
        <v>30</v>
      </c>
      <c r="B17" s="69" t="s">
        <v>362</v>
      </c>
    </row>
    <row r="18" spans="1:2" x14ac:dyDescent="0.3">
      <c r="A18" s="68" t="s">
        <v>31</v>
      </c>
      <c r="B18" s="69" t="s">
        <v>362</v>
      </c>
    </row>
    <row r="19" spans="1:2" x14ac:dyDescent="0.3">
      <c r="A19" s="68" t="s">
        <v>32</v>
      </c>
      <c r="B19" s="69" t="s">
        <v>362</v>
      </c>
    </row>
    <row r="20" spans="1:2" x14ac:dyDescent="0.3">
      <c r="A20" s="68" t="s">
        <v>33</v>
      </c>
      <c r="B20" s="69" t="s">
        <v>362</v>
      </c>
    </row>
    <row r="21" spans="1:2" x14ac:dyDescent="0.3">
      <c r="A21" s="68" t="s">
        <v>34</v>
      </c>
      <c r="B21" s="69" t="s">
        <v>362</v>
      </c>
    </row>
    <row r="22" spans="1:2" x14ac:dyDescent="0.3">
      <c r="A22" s="70" t="s">
        <v>36</v>
      </c>
      <c r="B22" s="71" t="s">
        <v>363</v>
      </c>
    </row>
    <row r="23" spans="1:2" x14ac:dyDescent="0.3">
      <c r="A23" s="70" t="s">
        <v>37</v>
      </c>
      <c r="B23" s="71" t="s">
        <v>363</v>
      </c>
    </row>
    <row r="24" spans="1:2" x14ac:dyDescent="0.3">
      <c r="A24" s="70" t="s">
        <v>38</v>
      </c>
      <c r="B24" s="71" t="s">
        <v>363</v>
      </c>
    </row>
    <row r="25" spans="1:2" x14ac:dyDescent="0.3">
      <c r="A25" s="70" t="s">
        <v>39</v>
      </c>
      <c r="B25" s="71" t="s">
        <v>363</v>
      </c>
    </row>
    <row r="26" spans="1:2" x14ac:dyDescent="0.3">
      <c r="A26" s="70" t="s">
        <v>40</v>
      </c>
      <c r="B26" s="71" t="s">
        <v>363</v>
      </c>
    </row>
    <row r="27" spans="1:2" x14ac:dyDescent="0.3">
      <c r="A27" s="70" t="s">
        <v>41</v>
      </c>
      <c r="B27" s="71" t="s">
        <v>363</v>
      </c>
    </row>
    <row r="28" spans="1:2" x14ac:dyDescent="0.3">
      <c r="A28" s="70" t="s">
        <v>42</v>
      </c>
      <c r="B28" s="71" t="s">
        <v>363</v>
      </c>
    </row>
    <row r="29" spans="1:2" x14ac:dyDescent="0.3">
      <c r="A29" s="70" t="s">
        <v>43</v>
      </c>
      <c r="B29" s="71" t="s">
        <v>363</v>
      </c>
    </row>
    <row r="30" spans="1:2" x14ac:dyDescent="0.3">
      <c r="A30" s="72" t="s">
        <v>45</v>
      </c>
      <c r="B30" s="73" t="s">
        <v>364</v>
      </c>
    </row>
    <row r="31" spans="1:2" x14ac:dyDescent="0.3">
      <c r="A31" s="72" t="s">
        <v>46</v>
      </c>
      <c r="B31" s="73" t="s">
        <v>364</v>
      </c>
    </row>
    <row r="32" spans="1:2" x14ac:dyDescent="0.3">
      <c r="A32" s="72" t="s">
        <v>47</v>
      </c>
      <c r="B32" s="73" t="s">
        <v>364</v>
      </c>
    </row>
    <row r="33" spans="1:2" x14ac:dyDescent="0.3">
      <c r="A33" s="72" t="s">
        <v>48</v>
      </c>
      <c r="B33" s="73" t="s">
        <v>364</v>
      </c>
    </row>
    <row r="34" spans="1:2" x14ac:dyDescent="0.3">
      <c r="A34" s="72" t="s">
        <v>49</v>
      </c>
      <c r="B34" s="73" t="s">
        <v>364</v>
      </c>
    </row>
    <row r="35" spans="1:2" x14ac:dyDescent="0.3">
      <c r="A35" s="72" t="s">
        <v>50</v>
      </c>
      <c r="B35" s="73" t="s">
        <v>364</v>
      </c>
    </row>
    <row r="36" spans="1:2" x14ac:dyDescent="0.3">
      <c r="A36" s="72" t="s">
        <v>51</v>
      </c>
      <c r="B36" s="73" t="s">
        <v>364</v>
      </c>
    </row>
    <row r="37" spans="1:2" x14ac:dyDescent="0.3">
      <c r="A37" s="72" t="s">
        <v>52</v>
      </c>
      <c r="B37" s="73" t="s">
        <v>364</v>
      </c>
    </row>
    <row r="38" spans="1:2" x14ac:dyDescent="0.3">
      <c r="A38" s="72" t="s">
        <v>53</v>
      </c>
      <c r="B38" s="73" t="s">
        <v>364</v>
      </c>
    </row>
    <row r="39" spans="1:2" x14ac:dyDescent="0.3">
      <c r="A39" s="72" t="s">
        <v>54</v>
      </c>
      <c r="B39" s="73" t="s">
        <v>364</v>
      </c>
    </row>
    <row r="40" spans="1:2" x14ac:dyDescent="0.3">
      <c r="A40" s="72" t="s">
        <v>55</v>
      </c>
      <c r="B40" s="73" t="s">
        <v>364</v>
      </c>
    </row>
    <row r="41" spans="1:2" x14ac:dyDescent="0.3">
      <c r="A41" s="72" t="s">
        <v>56</v>
      </c>
      <c r="B41" s="73" t="s">
        <v>364</v>
      </c>
    </row>
    <row r="42" spans="1:2" x14ac:dyDescent="0.3">
      <c r="A42" s="72" t="s">
        <v>57</v>
      </c>
      <c r="B42" s="73" t="s">
        <v>364</v>
      </c>
    </row>
    <row r="43" spans="1:2" x14ac:dyDescent="0.3">
      <c r="A43" s="72" t="s">
        <v>357</v>
      </c>
      <c r="B43" s="73" t="s">
        <v>364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act xmlns="bbe0c1ff-4ea8-4742-b81e-1b93d10d9123">true</Contract>
    <lcf76f155ced4ddcb4097134ff3c332f xmlns="bbe0c1ff-4ea8-4742-b81e-1b93d10d9123">
      <Terms xmlns="http://schemas.microsoft.com/office/infopath/2007/PartnerControls"/>
    </lcf76f155ced4ddcb4097134ff3c332f>
    <TaxCatchAll xmlns="b24c899e-f1aa-4d46-abe9-6a2d3949e0b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A12B42EB36F4E83C5712A8F0E24F0" ma:contentTypeVersion="11" ma:contentTypeDescription="Create a new document." ma:contentTypeScope="" ma:versionID="83a45d58dc7dd89d710b0db0f983f7f6">
  <xsd:schema xmlns:xsd="http://www.w3.org/2001/XMLSchema" xmlns:xs="http://www.w3.org/2001/XMLSchema" xmlns:p="http://schemas.microsoft.com/office/2006/metadata/properties" xmlns:ns2="bbe0c1ff-4ea8-4742-b81e-1b93d10d9123" xmlns:ns3="b24c899e-f1aa-4d46-abe9-6a2d3949e0be" targetNamespace="http://schemas.microsoft.com/office/2006/metadata/properties" ma:root="true" ma:fieldsID="f43ef5a0bad12e1832856d2e9da9c1c9" ns2:_="" ns3:_="">
    <xsd:import namespace="bbe0c1ff-4ea8-4742-b81e-1b93d10d9123"/>
    <xsd:import namespace="b24c899e-f1aa-4d46-abe9-6a2d3949e0b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Contr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e0c1ff-4ea8-4742-b81e-1b93d10d912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59af164-f82f-4540-b848-c90cc960f8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ntract" ma:index="18" nillable="true" ma:displayName="Contract" ma:default="1" ma:format="Dropdown" ma:internalName="Contrac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4c899e-f1aa-4d46-abe9-6a2d3949e0b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a3f7cb-854e-4693-a750-9d87ac1382ab}" ma:internalName="TaxCatchAll" ma:showField="CatchAllData" ma:web="b24c899e-f1aa-4d46-abe9-6a2d3949e0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76CBF7-A3A7-4653-A8D9-166CFEDC78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78CEB1-2B2B-4ABF-B9E0-B48650D1B121}">
  <ds:schemaRefs>
    <ds:schemaRef ds:uri="http://schemas.microsoft.com/office/2006/metadata/properties"/>
    <ds:schemaRef ds:uri="http://schemas.microsoft.com/office/infopath/2007/PartnerControls"/>
    <ds:schemaRef ds:uri="bbe0c1ff-4ea8-4742-b81e-1b93d10d9123"/>
    <ds:schemaRef ds:uri="b24c899e-f1aa-4d46-abe9-6a2d3949e0be"/>
  </ds:schemaRefs>
</ds:datastoreItem>
</file>

<file path=customXml/itemProps3.xml><?xml version="1.0" encoding="utf-8"?>
<ds:datastoreItem xmlns:ds="http://schemas.openxmlformats.org/officeDocument/2006/customXml" ds:itemID="{D830C9D8-8E77-4743-92E7-F720A4CF23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e0c1ff-4ea8-4742-b81e-1b93d10d9123"/>
    <ds:schemaRef ds:uri="b24c899e-f1aa-4d46-abe9-6a2d3949e0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Dashboard</vt:lpstr>
      <vt:lpstr>Master</vt:lpstr>
      <vt:lpstr>Reference</vt:lpstr>
      <vt:lpstr>Rig 103</vt:lpstr>
      <vt:lpstr>Rig 104</vt:lpstr>
      <vt:lpstr>Rig 105</vt:lpstr>
      <vt:lpstr>Rig 106</vt:lpstr>
      <vt:lpstr>Rig 107</vt:lpstr>
      <vt:lpstr>Rig 108</vt:lpstr>
      <vt:lpstr>Rig 109</vt:lpstr>
      <vt:lpstr>Rig 110</vt:lpstr>
      <vt:lpstr>Rig 111</vt:lpstr>
      <vt:lpstr>Rig 201</vt:lpstr>
      <vt:lpstr>Rig 202</vt:lpstr>
      <vt:lpstr>Rig 203</vt:lpstr>
      <vt:lpstr>Rig 204</vt:lpstr>
      <vt:lpstr>Rig 205</vt:lpstr>
      <vt:lpstr>Rig 206</vt:lpstr>
      <vt:lpstr>Rig 207</vt:lpstr>
      <vt:lpstr>Rig 208</vt:lpstr>
      <vt:lpstr>Rig 209</vt:lpstr>
      <vt:lpstr>Rig 210</vt:lpstr>
      <vt:lpstr>Rig 302</vt:lpstr>
      <vt:lpstr>Rig 303</vt:lpstr>
      <vt:lpstr>Rig 304</vt:lpstr>
      <vt:lpstr>Rig 305</vt:lpstr>
      <vt:lpstr>Rig 306</vt:lpstr>
      <vt:lpstr>Hoist 1</vt:lpstr>
      <vt:lpstr>Hoist 2</vt:lpstr>
      <vt:lpstr>Hoist 3</vt:lpstr>
      <vt:lpstr>Hoist 4</vt:lpstr>
      <vt:lpstr>Hoist 5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Haitham Al Lamki</cp:lastModifiedBy>
  <cp:revision>0</cp:revision>
  <dcterms:created xsi:type="dcterms:W3CDTF">2026-05-31T09:48:32Z</dcterms:created>
  <dcterms:modified xsi:type="dcterms:W3CDTF">2026-07-09T17:06:17Z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0x010100C75A12B42EB36F4E83C5712A8F0E24F0</vt:lpwstr>
  </property>
  <property fmtid="{D5CDD505-2E9C-101B-9397-08002B2CF9AE}" pid="3" name="MediaServiceImageTags">
    <vt:lpwstr/>
  </property>
</Properties>
</file>